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全日餐點總表" sheetId="1" state="visible" r:id="rId1"/>
    <sheet xmlns:r="http://schemas.openxmlformats.org/officeDocument/2006/relationships" name="國小午餐明細" sheetId="2" state="visible" r:id="rId2"/>
    <sheet xmlns:r="http://schemas.openxmlformats.org/officeDocument/2006/relationships" name="幼兒園早午點心" sheetId="3" state="visible" r:id="rId3"/>
    <sheet xmlns:r="http://schemas.openxmlformats.org/officeDocument/2006/relationships" name="營養與食材分析" sheetId="4" state="visible" r:id="rId4"/>
  </sheets>
  <definedNames>
    <definedName name="_xlnm._FilterDatabase" localSheetId="0" hidden="1">'全日餐點總表'!$A$5:$L$28</definedName>
    <definedName name="_xlnm._FilterDatabase" localSheetId="1" hidden="1">'國小午餐明細'!$A$4:$N$27</definedName>
    <definedName name="_xlnm._FilterDatabase" localSheetId="2" hidden="1">'幼兒園早午點心'!$A$4:$H$27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微軟正黑體"/>
      <charset val="136"/>
      <family val="2"/>
      <color rgb="FF000000"/>
      <sz val="11"/>
    </font>
    <font>
      <name val="Arial"/>
      <charset val="136"/>
      <family val="0"/>
      <sz val="10"/>
    </font>
    <font>
      <name val="Arial"/>
      <charset val="136"/>
      <family val="0"/>
      <sz val="10"/>
    </font>
    <font>
      <name val="Arial"/>
      <charset val="136"/>
      <family val="0"/>
      <sz val="10"/>
    </font>
    <font>
      <name val="Microsoft JhengHei"/>
      <charset val="1"/>
      <family val="0"/>
      <b val="1"/>
      <color rgb="FF1E3D2F"/>
      <sz val="15"/>
    </font>
    <font>
      <name val="Microsoft JhengHei"/>
      <charset val="1"/>
      <family val="0"/>
      <i val="1"/>
      <color rgb="FF555555"/>
      <sz val="9"/>
    </font>
    <font>
      <name val="Microsoft JhengHei"/>
      <charset val="136"/>
      <family val="0"/>
      <b val="1"/>
      <color rgb="FFB85D19"/>
      <sz val="9"/>
    </font>
    <font>
      <name val="Microsoft JhengHei"/>
      <charset val="1"/>
      <family val="0"/>
      <color rgb="FF222222"/>
      <sz val="9.5"/>
    </font>
    <font>
      <name val="Microsoft JhengHei"/>
      <charset val="136"/>
      <family val="0"/>
      <color rgb="FF222222"/>
      <sz val="9.5"/>
    </font>
    <font>
      <name val="Microsoft JhengHei"/>
      <charset val="1"/>
      <family val="0"/>
      <b val="1"/>
      <color rgb="FFFFFFFF"/>
      <sz val="10"/>
    </font>
    <font>
      <name val="Microsoft JhengHei"/>
      <charset val="1"/>
      <family val="0"/>
      <b val="1"/>
      <color rgb="FFFFFFFF"/>
      <sz val="9"/>
    </font>
    <font>
      <name val="Microsoft JhengHei"/>
      <charset val="1"/>
      <family val="0"/>
      <b val="1"/>
      <color rgb="FFB85D19"/>
      <sz val="9"/>
    </font>
    <font>
      <name val="Microsoft JhengHei"/>
      <charset val="1"/>
      <family val="0"/>
      <i val="1"/>
      <color rgb="FF888888"/>
      <sz val="9.5"/>
    </font>
    <font>
      <name val="Microsoft JhengHei"/>
      <charset val="1"/>
      <family val="0"/>
      <b val="1"/>
      <color rgb="FF1E3D2F"/>
      <sz val="11"/>
    </font>
    <font>
      <name val="Microsoft JhengHei"/>
      <charset val="1"/>
      <family val="0"/>
      <b val="1"/>
      <color rgb="FF1E4D2B"/>
      <sz val="12"/>
    </font>
    <font>
      <name val="Microsoft JhengHei"/>
      <charset val="1"/>
      <family val="0"/>
      <b val="1"/>
      <color rgb="FF222222"/>
      <sz val="9.5"/>
    </font>
    <font>
      <name val="Microsoft JhengHei"/>
      <charset val="1"/>
      <family val="0"/>
      <i val="1"/>
      <color rgb="FF777777"/>
      <sz val="10"/>
    </font>
    <font>
      <name val="微軟正黑體"/>
      <family val="2"/>
      <color rgb="FF000000"/>
      <sz val="10"/>
    </font>
    <font>
      <name val="微軟正黑體"/>
      <family val="2"/>
      <b val="1"/>
      <color rgb="FF000000"/>
      <sz val="10"/>
    </font>
    <font>
      <name val="Calibri"/>
      <family val="2"/>
      <b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2D5A43"/>
        <bgColor rgb="FF1E4D2B"/>
      </patternFill>
    </fill>
    <fill>
      <patternFill patternType="solid">
        <fgColor rgb="FF4A7C59"/>
        <bgColor rgb="FF777777"/>
      </patternFill>
    </fill>
    <fill>
      <patternFill patternType="solid">
        <fgColor rgb="FFF8FAF9"/>
        <bgColor rgb="FFF9F9F9"/>
      </patternFill>
    </fill>
    <fill>
      <patternFill patternType="solid">
        <fgColor rgb="FFFFF9E6"/>
        <bgColor rgb="FFF9F9F9"/>
      </patternFill>
    </fill>
    <fill>
      <patternFill patternType="solid">
        <fgColor rgb="FFF0F0F0"/>
        <bgColor rgb="FFEAF2EC"/>
      </patternFill>
    </fill>
    <fill>
      <patternFill patternType="solid">
        <fgColor rgb="FFEAF2EC"/>
        <bgColor rgb="FFF0F0F0"/>
      </patternFill>
    </fill>
    <fill>
      <patternFill patternType="solid">
        <fgColor rgb="FF8C5B3E"/>
        <bgColor rgb="FFAB4744"/>
      </patternFill>
    </fill>
  </fills>
  <borders count="9">
    <border>
      <left/>
      <right/>
      <top/>
      <bottom/>
      <diagonal/>
    </border>
    <border>
      <left style="thin">
        <color rgb="FFD0D7D1"/>
      </left>
      <right style="thin">
        <color rgb="FFD0D7D1"/>
      </right>
      <top style="thin">
        <color rgb="FFD0D7D1"/>
      </top>
      <bottom style="thin">
        <color rgb="FFD0D7D1"/>
      </bottom>
      <diagonal/>
    </border>
    <border>
      <left style="thin">
        <color rgb="FFD0D7D1"/>
      </left>
      <right style="thin">
        <color rgb="FFD0D7D1"/>
      </right>
      <top style="thin">
        <color rgb="FFD0D7D1"/>
      </top>
      <bottom style="double">
        <color rgb="FF2D5A43"/>
      </bottom>
      <diagonal/>
    </border>
    <border>
      <left/>
      <right/>
      <top style="thin">
        <color rgb="FFD0D7D1"/>
      </top>
      <bottom/>
      <diagonal/>
    </border>
    <border>
      <left/>
      <right style="thin">
        <color rgb="FFD0D7D1"/>
      </right>
      <top style="thin">
        <color rgb="FFD0D7D1"/>
      </top>
      <bottom/>
      <diagonal/>
    </border>
    <border>
      <left/>
      <right style="thin">
        <color rgb="FFD0D7D1"/>
      </right>
      <top style="thin">
        <color rgb="FFD0D7D1"/>
      </top>
      <bottom style="thin">
        <color rgb="FFD0D7D1"/>
      </bottom>
      <diagonal/>
    </border>
    <border>
      <left/>
      <right/>
      <top style="thin">
        <color rgb="FFD0D7D1"/>
      </top>
      <bottom style="thin">
        <color rgb="FFD0D7D1"/>
      </bottom>
      <diagonal/>
    </border>
    <border>
      <left/>
      <right/>
      <top style="thin">
        <color rgb="FFD0D7D1"/>
      </top>
      <bottom style="double">
        <color rgb="FF2D5A43"/>
      </bottom>
      <diagonal/>
    </border>
    <border>
      <left/>
      <right style="thin">
        <color rgb="FFD0D7D1"/>
      </right>
      <top style="thin">
        <color rgb="FFD0D7D1"/>
      </top>
      <bottom style="double">
        <color rgb="FF2D5A43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/>
    </xf>
    <xf numFmtId="3" fontId="14" fillId="7" borderId="2" applyAlignment="1" pivotButton="0" quotePrefix="0" xfId="0">
      <alignment horizontal="right" vertical="center"/>
    </xf>
    <xf numFmtId="0" fontId="0" fillId="7" borderId="2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3" fontId="1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right" vertical="center"/>
    </xf>
    <xf numFmtId="0" fontId="15" fillId="7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right" vertical="center"/>
    </xf>
    <xf numFmtId="164" fontId="15" fillId="7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right" vertical="center"/>
    </xf>
    <xf numFmtId="0" fontId="9" fillId="8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right" vertical="center"/>
    </xf>
    <xf numFmtId="3" fontId="1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right" vertical="center"/>
    </xf>
    <xf numFmtId="0" fontId="15" fillId="7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right" vertical="center"/>
    </xf>
    <xf numFmtId="164" fontId="15" fillId="7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right" vertical="center"/>
    </xf>
    <xf numFmtId="0" fontId="9" fillId="8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5B3E"/>
      <rgbColor rgb="FF800080"/>
      <rgbColor rgb="FF4A7C59"/>
      <rgbColor rgb="FF8AA64F"/>
      <rgbColor rgb="FF878787"/>
      <rgbColor rgb="FF93A9CE"/>
      <rgbColor rgb="FFAB4744"/>
      <rgbColor rgb="FFFFF9E6"/>
      <rgbColor rgb="FFEAF2EC"/>
      <rgbColor rgb="FF660066"/>
      <rgbColor rgb="FFDC853E"/>
      <rgbColor rgb="FF777777"/>
      <rgbColor rgb="FFD0D7D1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0F0F0"/>
      <rgbColor rgb="FFF8FAF9"/>
      <rgbColor rgb="FFF9F9F9"/>
      <rgbColor rgb="FF99CCFF"/>
      <rgbColor rgb="FFD09493"/>
      <rgbColor rgb="FF8064A2"/>
      <rgbColor rgb="FFFFCC99"/>
      <rgbColor rgb="FF4672A8"/>
      <rgbColor rgb="FF33CCCC"/>
      <rgbColor rgb="FF9BBB59"/>
      <rgbColor rgb="FFFFCC00"/>
      <rgbColor rgb="FFFF9900"/>
      <rgbColor rgb="FFFF6600"/>
      <rgbColor rgb="FF725990"/>
      <rgbColor rgb="FF888888"/>
      <rgbColor rgb="FF2D5A43"/>
      <rgbColor rgb="FF4299B0"/>
      <rgbColor rgb="FF1E4D2B"/>
      <rgbColor rgb="FF222222"/>
      <rgbColor rgb="FFB85D19"/>
      <rgbColor rgb="FFC0504D"/>
      <rgbColor rgb="FF555555"/>
      <rgbColor rgb="FF1E3D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營養與食材分析!B13</f>
              <strCache>
                <ptCount val="1"/>
                <pt idx="0">
                  <v>供應次數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營養與食材分析!$A$14:$A$17</f>
              <strCache>
                <ptCount val="4"/>
                <pt idx="0">
                  <v>雞肉料理</v>
                </pt>
                <pt idx="1">
                  <v>豬肉料理</v>
                </pt>
                <pt idx="2">
                  <v>魚肉海鮮</v>
                </pt>
                <pt idx="3">
                  <v>豆蛋製品</v>
                </pt>
              </strCache>
            </strRef>
          </cat>
          <val>
            <numRef>
              <f>營養與食材分析!$B$14:$B$17</f>
              <numCache>
                <formatCode>General</formatCode>
                <ptCount val="4"/>
                <pt idx="0">
                  <v>10</v>
                </pt>
                <pt idx="1">
                  <v>8</v>
                </pt>
                <pt idx="2">
                  <v>3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varyColors val="1"/>
        <ser>
          <idx val="0"/>
          <order val="0"/>
          <tx>
            <strRef>
              <f>營養與食材分析!B30</f>
              <strCache>
                <ptCount val="1"/>
                <pt idx="0">
                  <v>提供天數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936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營養與食材分析!$A$31:$A$38</f>
              <strCache>
                <ptCount val="8"/>
                <pt idx="0">
                  <v>香蕉</v>
                </pt>
                <pt idx="1">
                  <v>芭樂</v>
                </pt>
                <pt idx="2">
                  <v>奇異果</v>
                </pt>
                <pt idx="3">
                  <v>鳳梨</v>
                </pt>
                <pt idx="4">
                  <v>西瓜</v>
                </pt>
                <pt idx="5">
                  <v>葡萄</v>
                </pt>
                <pt idx="6">
                  <v>蘋果</v>
                </pt>
                <pt idx="7">
                  <v>火龍果</v>
                </pt>
              </strCache>
            </strRef>
          </cat>
          <val>
            <numRef>
              <f>營養與食材分析!$B$31:$B$38</f>
              <numCache>
                <formatCode>General</formatCode>
                <ptCount val="8"/>
                <pt idx="0">
                  <v>5</v>
                </pt>
                <pt idx="1">
                  <v>4</v>
                </pt>
                <pt idx="2">
                  <v>3</v>
                </pt>
                <pt idx="3">
                  <v>3</v>
                </pt>
                <pt idx="4">
                  <v>2</v>
                </pt>
                <pt idx="5">
                  <v>2</v>
                </pt>
                <pt idx="6">
                  <v>1</v>
                </pt>
                <pt idx="7">
                  <v>1</v>
                </pt>
              </numCache>
            </numRef>
          </val>
        </ser>
        <gapWidth val="150"/>
        <overlap val="0"/>
        <axId val="51307764"/>
        <axId val="40310256"/>
      </barChart>
      <catAx>
        <axId val="51307764"/>
        <scaling>
          <orientation val="minMax"/>
        </scaling>
        <delete val="1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水果品項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0310256"/>
        <crosses val="autoZero"/>
        <auto val="1"/>
        <lblAlgn val="ctr"/>
        <lblOffset val="100"/>
      </catAx>
      <valAx>
        <axId val="40310256"/>
        <scaling>
          <orientation val="minMax"/>
        </scaling>
        <delete val="1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天數 (次)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1307764"/>
        <crosses val="autoZero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3</row>
      <rowOff>0</rowOff>
    </from>
    <to>
      <col>9</col>
      <colOff>819360</colOff>
      <row>16</row>
      <rowOff>11520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20</row>
      <rowOff>0</rowOff>
    </from>
    <to>
      <col>9</col>
      <colOff>819360</colOff>
      <row>33</row>
      <rowOff>64800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L22" activeCellId="0" sqref="L22:L23"/>
    </sheetView>
  </sheetViews>
  <sheetFormatPr baseColWidth="8" defaultRowHeight="13.8" zeroHeight="0" outlineLevelRow="0"/>
  <cols>
    <col width="8.67" customWidth="1" style="38" min="1" max="1"/>
    <col width="6.94" customWidth="1" style="38" min="2" max="2"/>
    <col width="20.81" customWidth="1" style="38" min="3" max="4"/>
    <col width="19.08" customWidth="1" style="38" min="5" max="5"/>
    <col width="15.61" customWidth="1" style="38" min="6" max="6"/>
    <col width="13.88" customWidth="1" style="38" min="7" max="7"/>
    <col width="15.61" customWidth="1" style="38" min="8" max="8"/>
    <col width="11.28" customWidth="1" style="38" min="9" max="9"/>
    <col width="10.4" customWidth="1" style="38" min="10" max="10"/>
    <col width="20.81" customWidth="1" style="38" min="11" max="11"/>
    <col width="26.02" customWidth="1" style="38" min="12" max="12"/>
    <col width="7.52" customWidth="1" style="38" min="13" max="1025"/>
  </cols>
  <sheetData>
    <row r="1" ht="21.6" customHeight="1" s="39">
      <c r="A1" s="40" t="inlineStr">
        <is>
          <t>臺北市大安區龍安國小暨附設幼兒園 115學年度9月份全日餐點一覽表</t>
        </is>
      </c>
    </row>
    <row r="2" ht="13.8" customHeight="1" s="39">
      <c r="A2" s="41" t="inlineStr">
        <is>
          <t>統計期間：115年8月31日 至 115年9月30日 | 包含：幼兒園早點、當季水果、國小學生午餐、幼兒園午點</t>
        </is>
      </c>
    </row>
    <row r="3" ht="14.25" customHeight="1" s="39">
      <c r="C3" s="42" t="inlineStr">
        <is>
          <t>☆精選餐</t>
        </is>
      </c>
      <c r="D3" s="43" t="inlineStr">
        <is>
          <t>★油炸</t>
        </is>
      </c>
      <c r="E3" s="44" t="inlineStr">
        <is>
          <t xml:space="preserve">◎調理品 </t>
        </is>
      </c>
    </row>
    <row r="4" ht="24" customHeight="1" s="39">
      <c r="A4" s="45" t="inlineStr">
        <is>
          <t>日期資訊</t>
        </is>
      </c>
      <c r="B4" s="46" t="n"/>
      <c r="C4" s="45" t="inlineStr">
        <is>
          <t>幼兒園晨間點心</t>
        </is>
      </c>
      <c r="D4" s="45" t="inlineStr">
        <is>
          <t>學校中央午餐 (統鮮美食供應)</t>
        </is>
      </c>
      <c r="E4" s="47" t="n"/>
      <c r="F4" s="47" t="n"/>
      <c r="G4" s="47" t="n"/>
      <c r="H4" s="47" t="n"/>
      <c r="I4" s="46" t="n"/>
      <c r="J4" s="45" t="n"/>
      <c r="K4" s="45" t="inlineStr">
        <is>
          <t>幼兒園午後點心</t>
        </is>
      </c>
      <c r="L4" s="45" t="inlineStr">
        <is>
          <t>備註說明</t>
        </is>
      </c>
    </row>
    <row r="5" ht="24" customHeight="1" s="39">
      <c r="A5" s="48" t="inlineStr">
        <is>
          <t>日期</t>
        </is>
      </c>
      <c r="B5" s="48" t="inlineStr">
        <is>
          <t>星期</t>
        </is>
      </c>
      <c r="C5" s="48" t="inlineStr">
        <is>
          <t>早點品項</t>
        </is>
      </c>
      <c r="D5" s="48" t="inlineStr">
        <is>
          <t>午餐主食</t>
        </is>
      </c>
      <c r="E5" s="48" t="inlineStr">
        <is>
          <t>午餐主菜</t>
        </is>
      </c>
      <c r="F5" s="48" t="inlineStr">
        <is>
          <t>午餐副菜</t>
        </is>
      </c>
      <c r="G5" s="48" t="inlineStr">
        <is>
          <t>時蔬(80g)</t>
        </is>
      </c>
      <c r="H5" s="48" t="inlineStr">
        <is>
          <t>午餐湯品</t>
        </is>
      </c>
      <c r="I5" s="48" t="inlineStr">
        <is>
          <t>熱量(kcal)</t>
        </is>
      </c>
      <c r="J5" s="48" t="inlineStr">
        <is>
          <t>午餐水果</t>
        </is>
      </c>
      <c r="K5" s="48" t="inlineStr">
        <is>
          <t>午點品項</t>
        </is>
      </c>
      <c r="L5" s="48" t="inlineStr">
        <is>
          <t>特餐 / 飲食提醒</t>
        </is>
      </c>
    </row>
    <row r="6" ht="22" customHeight="1" s="39">
      <c r="A6" t="inlineStr">
        <is>
          <t>8/31</t>
        </is>
      </c>
      <c r="B6" t="inlineStr">
        <is>
          <t>一</t>
        </is>
      </c>
      <c r="C6" t="inlineStr">
        <is>
          <t>蜂蜜麥片 + 鮮奶</t>
        </is>
      </c>
      <c r="D6" t="inlineStr">
        <is>
          <t>糙米飯</t>
        </is>
      </c>
      <c r="E6" t="inlineStr">
        <is>
          <t>沙嗲燒肉</t>
        </is>
      </c>
      <c r="F6" t="inlineStr">
        <is>
          <t>雞肉筑前煮</t>
        </is>
      </c>
      <c r="G6" t="inlineStr">
        <is>
          <t>有機空心菜</t>
        </is>
      </c>
      <c r="H6" t="inlineStr">
        <is>
          <t>鮮筍雞湯</t>
        </is>
      </c>
      <c r="I6" t="n">
        <v>784</v>
      </c>
      <c r="J6" t="inlineStr">
        <is>
          <t>香蕉</t>
        </is>
      </c>
      <c r="K6" t="inlineStr">
        <is>
          <t>香菇瘦肉粥</t>
        </is>
      </c>
      <c r="L6" t="inlineStr"/>
    </row>
    <row r="7" ht="22" customHeight="1" s="39">
      <c r="A7" t="inlineStr">
        <is>
          <t>9/1</t>
        </is>
      </c>
      <c r="B7" t="inlineStr">
        <is>
          <t>二</t>
        </is>
      </c>
      <c r="C7" t="inlineStr">
        <is>
          <t>白菜蛋花湯餃</t>
        </is>
      </c>
      <c r="D7" t="inlineStr">
        <is>
          <t>胚芽飯</t>
        </is>
      </c>
      <c r="E7" t="inlineStr">
        <is>
          <t>茄汁雞丁</t>
        </is>
      </c>
      <c r="F7" t="inlineStr">
        <is>
          <t>香菇肉燥</t>
        </is>
      </c>
      <c r="G7" t="inlineStr">
        <is>
          <t>有機白莧菜</t>
        </is>
      </c>
      <c r="H7" t="inlineStr">
        <is>
          <t>羅宋湯</t>
        </is>
      </c>
      <c r="I7" t="n">
        <v>722</v>
      </c>
      <c r="J7" t="inlineStr">
        <is>
          <t>西瓜</t>
        </is>
      </c>
      <c r="K7" t="inlineStr">
        <is>
          <t>豆沙包</t>
        </is>
      </c>
      <c r="L7" t="inlineStr"/>
    </row>
    <row r="8" ht="22" customHeight="1" s="39">
      <c r="A8" t="inlineStr">
        <is>
          <t>9/2</t>
        </is>
      </c>
      <c r="B8" t="inlineStr">
        <is>
          <t>三</t>
        </is>
      </c>
      <c r="C8" t="inlineStr">
        <is>
          <t>香菇貢丸細粉</t>
        </is>
      </c>
      <c r="D8" t="inlineStr">
        <is>
          <t>義式肉醬麵</t>
        </is>
      </c>
      <c r="E8" t="inlineStr">
        <is>
          <t>唐揚炸雞X3</t>
        </is>
      </c>
      <c r="F8" t="inlineStr">
        <is>
          <t>地瓜薯條X4</t>
        </is>
      </c>
      <c r="G8" t="inlineStr">
        <is>
          <t>青菜</t>
        </is>
      </c>
      <c r="H8" t="inlineStr">
        <is>
          <t>蔬菜蛋花湯</t>
        </is>
      </c>
      <c r="I8" t="n">
        <v>715</v>
      </c>
      <c r="J8" t="inlineStr">
        <is>
          <t>奇異果</t>
        </is>
      </c>
      <c r="K8" t="inlineStr">
        <is>
          <t>麥茶 + 水煮蛋</t>
        </is>
      </c>
      <c r="L8" t="inlineStr">
        <is>
          <t>每週三有機蔬菜</t>
        </is>
      </c>
    </row>
    <row r="9" ht="22" customHeight="1" s="39">
      <c r="A9" t="inlineStr">
        <is>
          <t>9/3</t>
        </is>
      </c>
      <c r="B9" t="inlineStr">
        <is>
          <t>四</t>
        </is>
      </c>
      <c r="C9" t="inlineStr">
        <is>
          <t>全麥饅頭 + 鮮奶</t>
        </is>
      </c>
      <c r="D9" t="inlineStr">
        <is>
          <t>燕麥飯</t>
        </is>
      </c>
      <c r="E9" t="inlineStr">
        <is>
          <t>筍干滷肉</t>
        </is>
      </c>
      <c r="F9" t="inlineStr">
        <is>
          <t>香烤翅腿X1</t>
        </is>
      </c>
      <c r="G9" t="inlineStr">
        <is>
          <t>有機黑葉白菜</t>
        </is>
      </c>
      <c r="H9" t="inlineStr">
        <is>
          <t>地瓜芋頭湯</t>
        </is>
      </c>
      <c r="I9" t="n">
        <v>731</v>
      </c>
      <c r="J9" t="inlineStr">
        <is>
          <t>芭樂</t>
        </is>
      </c>
      <c r="K9" t="inlineStr">
        <is>
          <t>綠豆薏仁湯</t>
        </is>
      </c>
      <c r="L9" t="inlineStr"/>
    </row>
    <row r="10" ht="22" customHeight="1" s="39">
      <c r="A10" t="inlineStr">
        <is>
          <t>9/4</t>
        </is>
      </c>
      <c r="B10" t="inlineStr">
        <is>
          <t>五</t>
        </is>
      </c>
      <c r="C10" t="inlineStr">
        <is>
          <t>清粥小菜</t>
        </is>
      </c>
      <c r="D10" t="inlineStr">
        <is>
          <t>五穀飯</t>
        </is>
      </c>
      <c r="E10" t="inlineStr">
        <is>
          <t>糖醋里肌</t>
        </is>
      </c>
      <c r="F10" t="inlineStr">
        <is>
          <t>銀芽肉絲</t>
        </is>
      </c>
      <c r="G10" t="inlineStr">
        <is>
          <t>青菜</t>
        </is>
      </c>
      <c r="H10" t="inlineStr">
        <is>
          <t>關東煮</t>
        </is>
      </c>
      <c r="I10" t="n">
        <v>756</v>
      </c>
      <c r="J10" t="inlineStr">
        <is>
          <t>鳳梨</t>
        </is>
      </c>
      <c r="K10" t="inlineStr">
        <is>
          <t>紅豆麵包</t>
        </is>
      </c>
      <c r="L10" t="inlineStr">
        <is>
          <t>蔬食日</t>
        </is>
      </c>
    </row>
    <row r="11" ht="22" customHeight="1" s="39">
      <c r="A11" t="inlineStr">
        <is>
          <t>9/7</t>
        </is>
      </c>
      <c r="B11" t="inlineStr">
        <is>
          <t>一</t>
        </is>
      </c>
      <c r="C11" t="inlineStr">
        <is>
          <t>生日蛋糕 + 鮮奶</t>
        </is>
      </c>
      <c r="D11" t="inlineStr">
        <is>
          <t>胚芽飯</t>
        </is>
      </c>
      <c r="E11" t="inlineStr">
        <is>
          <t>洋釀翅腿X2</t>
        </is>
      </c>
      <c r="F11" t="inlineStr">
        <is>
          <t>回鍋肉片</t>
        </is>
      </c>
      <c r="G11" t="inlineStr">
        <is>
          <t>有機荷葉白菜</t>
        </is>
      </c>
      <c r="H11" t="inlineStr">
        <is>
          <t>肉骨茶湯</t>
        </is>
      </c>
      <c r="I11" t="n">
        <v>732.5</v>
      </c>
      <c r="J11" t="inlineStr">
        <is>
          <t>香蕉</t>
        </is>
      </c>
      <c r="K11" t="inlineStr">
        <is>
          <t>地瓜湯</t>
        </is>
      </c>
      <c r="L11" t="inlineStr">
        <is>
          <t>慶生會</t>
        </is>
      </c>
    </row>
    <row r="12" ht="22" customHeight="1" s="39">
      <c r="A12" t="inlineStr">
        <is>
          <t>9/8</t>
        </is>
      </c>
      <c r="B12" t="inlineStr">
        <is>
          <t>二</t>
        </is>
      </c>
      <c r="C12" t="inlineStr">
        <is>
          <t>肉包</t>
        </is>
      </c>
      <c r="D12" t="inlineStr">
        <is>
          <t>糙米飯</t>
        </is>
      </c>
      <c r="E12" t="inlineStr">
        <is>
          <t>金喜肉排</t>
        </is>
      </c>
      <c r="F12" t="inlineStr">
        <is>
          <t>干片肉絲</t>
        </is>
      </c>
      <c r="G12" t="inlineStr">
        <is>
          <t>有機小松菜</t>
        </is>
      </c>
      <c r="H12" t="inlineStr">
        <is>
          <t>玉米濃湯</t>
        </is>
      </c>
      <c r="I12" t="n">
        <v>716</v>
      </c>
      <c r="J12" t="inlineStr">
        <is>
          <t>葡萄</t>
        </is>
      </c>
      <c r="K12" t="inlineStr">
        <is>
          <t>肉燥麵</t>
        </is>
      </c>
      <c r="L12" t="inlineStr"/>
    </row>
    <row r="13" ht="22" customHeight="1" s="39">
      <c r="A13" t="inlineStr">
        <is>
          <t>9/9</t>
        </is>
      </c>
      <c r="B13" t="inlineStr">
        <is>
          <t>三</t>
        </is>
      </c>
      <c r="C13" t="inlineStr">
        <is>
          <t>芝麻包</t>
        </is>
      </c>
      <c r="D13" t="inlineStr">
        <is>
          <t>白飯</t>
        </is>
      </c>
      <c r="E13" t="inlineStr">
        <is>
          <t>避風塘燒雞</t>
        </is>
      </c>
      <c r="F13" t="inlineStr">
        <is>
          <t>碎瓜仔肉</t>
        </is>
      </c>
      <c r="G13" t="inlineStr">
        <is>
          <t>青菜</t>
        </is>
      </c>
      <c r="H13" t="inlineStr">
        <is>
          <t>竹筍排骨湯</t>
        </is>
      </c>
      <c r="I13" t="n">
        <v>649</v>
      </c>
      <c r="J13" t="inlineStr">
        <is>
          <t>火龍果</t>
        </is>
      </c>
      <c r="K13" t="inlineStr">
        <is>
          <t>蘿蔔糕湯</t>
        </is>
      </c>
      <c r="L13" t="inlineStr">
        <is>
          <t>每週三有機蔬菜</t>
        </is>
      </c>
    </row>
    <row r="14" ht="22" customHeight="1" s="39">
      <c r="A14" t="inlineStr">
        <is>
          <t>9/10</t>
        </is>
      </c>
      <c r="B14" t="inlineStr">
        <is>
          <t>四</t>
        </is>
      </c>
      <c r="C14" t="inlineStr">
        <is>
          <t>銅鑼燒 + 鮮奶</t>
        </is>
      </c>
      <c r="D14" t="inlineStr">
        <is>
          <t>海苔香鬆飯</t>
        </is>
      </c>
      <c r="E14" t="inlineStr">
        <is>
          <t>醬爆肉絲</t>
        </is>
      </c>
      <c r="F14" t="inlineStr">
        <is>
          <t>柴魚蒸蛋</t>
        </is>
      </c>
      <c r="G14" t="inlineStr">
        <is>
          <t>有機空心菜</t>
        </is>
      </c>
      <c r="H14" t="inlineStr">
        <is>
          <t>柴魚味噌湯</t>
        </is>
      </c>
      <c r="I14" t="n">
        <v>681</v>
      </c>
      <c r="J14" t="inlineStr">
        <is>
          <t>芭樂</t>
        </is>
      </c>
      <c r="K14" t="inlineStr">
        <is>
          <t>檸檬愛玉</t>
        </is>
      </c>
      <c r="L14" t="inlineStr"/>
    </row>
    <row r="15" ht="22" customHeight="1" s="39">
      <c r="A15" t="inlineStr">
        <is>
          <t>9/11</t>
        </is>
      </c>
      <c r="B15" t="inlineStr">
        <is>
          <t>五</t>
        </is>
      </c>
      <c r="C15" t="inlineStr">
        <is>
          <t>雞茸南瓜粥</t>
        </is>
      </c>
      <c r="D15" t="inlineStr">
        <is>
          <t>紅藜飯</t>
        </is>
      </c>
      <c r="E15" t="inlineStr">
        <is>
          <t>蘿蔔燉肉</t>
        </is>
      </c>
      <c r="F15" t="inlineStr">
        <is>
          <t>玉米雞蓉</t>
        </is>
      </c>
      <c r="G15" t="inlineStr">
        <is>
          <t>青菜</t>
        </is>
      </c>
      <c r="H15" t="inlineStr">
        <is>
          <t>南瓜濃湯</t>
        </is>
      </c>
      <c r="I15" t="n">
        <v>700</v>
      </c>
      <c r="J15" t="inlineStr">
        <is>
          <t>蘋果</t>
        </is>
      </c>
      <c r="K15" t="inlineStr">
        <is>
          <t>優格</t>
        </is>
      </c>
      <c r="L15" t="inlineStr"/>
    </row>
    <row r="16" ht="22" customHeight="1" s="39">
      <c r="A16" t="inlineStr">
        <is>
          <t>9/14</t>
        </is>
      </c>
      <c r="B16" t="inlineStr">
        <is>
          <t>一</t>
        </is>
      </c>
      <c r="C16" t="inlineStr">
        <is>
          <t>什錦果麥 + 鮮奶</t>
        </is>
      </c>
      <c r="D16" t="inlineStr">
        <is>
          <t>酢醬麵</t>
        </is>
      </c>
      <c r="E16" t="inlineStr">
        <is>
          <t>洋蔥豬排X1</t>
        </is>
      </c>
      <c r="F16" t="inlineStr">
        <is>
          <t>洋芋雞丁</t>
        </is>
      </c>
      <c r="G16" t="inlineStr">
        <is>
          <t>有機小白菜</t>
        </is>
      </c>
      <c r="H16" t="inlineStr">
        <is>
          <t>冬瓜排骨湯</t>
        </is>
      </c>
      <c r="I16" t="n">
        <v>673</v>
      </c>
      <c r="J16" t="inlineStr">
        <is>
          <t>香蕉</t>
        </is>
      </c>
      <c r="K16" t="inlineStr">
        <is>
          <t>蛋花雞絲麵</t>
        </is>
      </c>
      <c r="L16" t="inlineStr"/>
    </row>
    <row r="17" ht="22" customHeight="1" s="39">
      <c r="A17" t="inlineStr">
        <is>
          <t>9/15</t>
        </is>
      </c>
      <c r="B17" t="inlineStr">
        <is>
          <t>二</t>
        </is>
      </c>
      <c r="C17" t="inlineStr">
        <is>
          <t>起酥蛋糕</t>
        </is>
      </c>
      <c r="D17" t="inlineStr">
        <is>
          <t>胚芽飯</t>
        </is>
      </c>
      <c r="E17" t="inlineStr">
        <is>
          <t>佛蒙特咖哩</t>
        </is>
      </c>
      <c r="F17" t="inlineStr">
        <is>
          <t>京醬甜不辣</t>
        </is>
      </c>
      <c r="G17" t="inlineStr">
        <is>
          <t>有機白莧菜</t>
        </is>
      </c>
      <c r="H17" t="inlineStr">
        <is>
          <t>帶芽蛋花湯</t>
        </is>
      </c>
      <c r="I17" t="n">
        <v>694</v>
      </c>
      <c r="J17" t="inlineStr">
        <is>
          <t>西瓜</t>
        </is>
      </c>
      <c r="K17" t="inlineStr">
        <is>
          <t>味噌魚片粥</t>
        </is>
      </c>
      <c r="L17" t="inlineStr"/>
    </row>
    <row r="18" ht="22" customHeight="1" s="39">
      <c r="A18" t="inlineStr">
        <is>
          <t>9/16</t>
        </is>
      </c>
      <c r="B18" t="inlineStr">
        <is>
          <t>三</t>
        </is>
      </c>
      <c r="C18" t="inlineStr">
        <is>
          <t>雜糧饅頭 + 鮮奶</t>
        </is>
      </c>
      <c r="D18" t="inlineStr">
        <is>
          <t>白飯</t>
        </is>
      </c>
      <c r="E18" t="inlineStr">
        <is>
          <t>醬燒雞塊</t>
        </is>
      </c>
      <c r="F18" t="inlineStr">
        <is>
          <t>鮮筍肉絲</t>
        </is>
      </c>
      <c r="G18" t="inlineStr">
        <is>
          <t>有機味美菜</t>
        </is>
      </c>
      <c r="H18" t="inlineStr">
        <is>
          <t>酸辣湯</t>
        </is>
      </c>
      <c r="I18" t="n">
        <v>687</v>
      </c>
      <c r="J18" t="inlineStr">
        <is>
          <t>芭樂</t>
        </is>
      </c>
      <c r="K18" t="inlineStr">
        <is>
          <t>山藥排骨湯</t>
        </is>
      </c>
      <c r="L18" t="inlineStr">
        <is>
          <t>每週三有機蔬菜</t>
        </is>
      </c>
    </row>
    <row r="19" ht="22" customHeight="1" s="39">
      <c r="A19" t="inlineStr">
        <is>
          <t>9/17</t>
        </is>
      </c>
      <c r="B19" t="inlineStr">
        <is>
          <t>四</t>
        </is>
      </c>
      <c r="C19" t="inlineStr">
        <is>
          <t>鮮蔥麵包</t>
        </is>
      </c>
      <c r="D19" t="inlineStr">
        <is>
          <t>五穀飯</t>
        </is>
      </c>
      <c r="E19" t="inlineStr">
        <is>
          <t>奶油雞丁</t>
        </is>
      </c>
      <c r="F19" t="inlineStr">
        <is>
          <t>香菇肉燥</t>
        </is>
      </c>
      <c r="G19" t="inlineStr">
        <is>
          <t>青菜</t>
        </is>
      </c>
      <c r="H19" t="inlineStr">
        <is>
          <t>蘿蔔湯</t>
        </is>
      </c>
      <c r="I19" t="n">
        <v>667</v>
      </c>
      <c r="J19" t="inlineStr">
        <is>
          <t>奇異果</t>
        </is>
      </c>
      <c r="K19" t="inlineStr">
        <is>
          <t>魚片豆腐味噌湯</t>
        </is>
      </c>
      <c r="L19" t="inlineStr"/>
    </row>
    <row r="20" ht="22" customHeight="1" s="39">
      <c r="A20" t="inlineStr">
        <is>
          <t>9/18</t>
        </is>
      </c>
      <c r="B20" t="inlineStr">
        <is>
          <t>五</t>
        </is>
      </c>
      <c r="C20" t="inlineStr">
        <is>
          <t>翡翠鹹粥</t>
        </is>
      </c>
      <c r="D20" t="inlineStr">
        <is>
          <t>糙米飯</t>
        </is>
      </c>
      <c r="E20" t="inlineStr">
        <is>
          <t>腰果雞丁</t>
        </is>
      </c>
      <c r="F20" t="inlineStr">
        <is>
          <t>洋蔥炒蛋</t>
        </is>
      </c>
      <c r="G20" t="inlineStr">
        <is>
          <t>有機木耳白莧菜</t>
        </is>
      </c>
      <c r="H20" t="inlineStr">
        <is>
          <t>白菜肉絲湯</t>
        </is>
      </c>
      <c r="I20" t="n">
        <v>730</v>
      </c>
      <c r="J20" t="inlineStr">
        <is>
          <t>鳳梨</t>
        </is>
      </c>
      <c r="K20" t="inlineStr">
        <is>
          <t>布丁</t>
        </is>
      </c>
      <c r="L20" t="inlineStr"/>
    </row>
    <row r="21" ht="22" customHeight="1" s="39">
      <c r="A21" t="inlineStr">
        <is>
          <t>9/21</t>
        </is>
      </c>
      <c r="B21" t="inlineStr">
        <is>
          <t>一</t>
        </is>
      </c>
      <c r="C21" t="inlineStr">
        <is>
          <t>水果麥片 + 鮮奶</t>
        </is>
      </c>
      <c r="D21" t="inlineStr">
        <is>
          <t>地瓜飯</t>
        </is>
      </c>
      <c r="E21" t="inlineStr">
        <is>
          <t>西式燉肉</t>
        </is>
      </c>
      <c r="F21" t="inlineStr">
        <is>
          <t>海苔豆腐</t>
        </is>
      </c>
      <c r="G21" t="inlineStr">
        <is>
          <t>有機空心菜</t>
        </is>
      </c>
      <c r="H21" t="inlineStr">
        <is>
          <t>香菇雞湯</t>
        </is>
      </c>
      <c r="I21" t="n">
        <v>764</v>
      </c>
      <c r="J21" t="inlineStr">
        <is>
          <t>香蕉</t>
        </is>
      </c>
      <c r="K21" t="inlineStr">
        <is>
          <t>水煮玉米</t>
        </is>
      </c>
      <c r="L21" t="inlineStr"/>
    </row>
    <row r="22" ht="22" customHeight="1" s="39">
      <c r="A22" t="inlineStr">
        <is>
          <t>9/22</t>
        </is>
      </c>
      <c r="B22" t="inlineStr">
        <is>
          <t>二</t>
        </is>
      </c>
      <c r="C22" t="inlineStr">
        <is>
          <t>地瓜麵包</t>
        </is>
      </c>
      <c r="D22" t="inlineStr">
        <is>
          <t>燕麥飯</t>
        </is>
      </c>
      <c r="E22" t="inlineStr">
        <is>
          <t>嫩雞親子丼</t>
        </is>
      </c>
      <c r="F22" t="inlineStr">
        <is>
          <t>吐魠魚條</t>
        </is>
      </c>
      <c r="G22" t="inlineStr">
        <is>
          <t>青菜</t>
        </is>
      </c>
      <c r="H22" t="inlineStr">
        <is>
          <t>綠豆麥片湯</t>
        </is>
      </c>
      <c r="I22" t="n">
        <v>700</v>
      </c>
      <c r="J22" t="inlineStr">
        <is>
          <t>鳳梨</t>
        </is>
      </c>
      <c r="K22" t="inlineStr">
        <is>
          <t>絲瓜麵線</t>
        </is>
      </c>
      <c r="L22" t="inlineStr"/>
    </row>
    <row r="23" ht="22" customHeight="1" s="39">
      <c r="A23" t="inlineStr">
        <is>
          <t>9/23</t>
        </is>
      </c>
      <c r="B23" t="inlineStr">
        <is>
          <t>三</t>
        </is>
      </c>
      <c r="C23" t="inlineStr">
        <is>
          <t>果醬吐司</t>
        </is>
      </c>
      <c r="D23" t="inlineStr">
        <is>
          <t>香菇油飯</t>
        </is>
      </c>
      <c r="E23" t="inlineStr">
        <is>
          <t>豆干燒雞</t>
        </is>
      </c>
      <c r="F23" t="inlineStr">
        <is>
          <t>蛋酥白菜</t>
        </is>
      </c>
      <c r="G23" t="inlineStr">
        <is>
          <t>有機黑葉白菜</t>
        </is>
      </c>
      <c r="H23" t="inlineStr">
        <is>
          <t>蘑菇濃湯</t>
        </is>
      </c>
      <c r="I23" t="n">
        <v>727.5</v>
      </c>
      <c r="J23" t="inlineStr">
        <is>
          <t>奇異果</t>
        </is>
      </c>
      <c r="K23" t="inlineStr">
        <is>
          <t>青菜餛飩湯</t>
        </is>
      </c>
      <c r="L23" t="inlineStr">
        <is>
          <t>每週三有機蔬菜</t>
        </is>
      </c>
    </row>
    <row r="24" ht="22" customHeight="1" s="39">
      <c r="A24" t="inlineStr">
        <is>
          <t>9/24</t>
        </is>
      </c>
      <c r="B24" t="inlineStr">
        <is>
          <t>四</t>
        </is>
      </c>
      <c r="C24" t="inlineStr">
        <is>
          <t>菠菜銀魚滑蛋粥</t>
        </is>
      </c>
      <c r="D24" t="inlineStr">
        <is>
          <t>白飯</t>
        </is>
      </c>
      <c r="E24" t="inlineStr">
        <is>
          <t>三杯雞</t>
        </is>
      </c>
      <c r="F24" t="inlineStr">
        <is>
          <t>番茄炒蛋</t>
        </is>
      </c>
      <c r="G24" t="inlineStr">
        <is>
          <t>有機白莧菜</t>
        </is>
      </c>
      <c r="H24" t="inlineStr">
        <is>
          <t>竹筍排骨湯</t>
        </is>
      </c>
      <c r="I24" t="n">
        <v>687</v>
      </c>
      <c r="J24" t="inlineStr">
        <is>
          <t>芭樂</t>
        </is>
      </c>
      <c r="K24" t="inlineStr">
        <is>
          <t>小月餅 + 鮮奶</t>
        </is>
      </c>
      <c r="L24" t="inlineStr"/>
    </row>
    <row r="25" ht="22" customHeight="1" s="39">
      <c r="A25" t="inlineStr">
        <is>
          <t>9/25</t>
        </is>
      </c>
      <c r="B25" t="inlineStr">
        <is>
          <t>五</t>
        </is>
      </c>
      <c r="C25" t="inlineStr"/>
      <c r="D25" t="inlineStr"/>
      <c r="E25" t="inlineStr"/>
      <c r="F25" t="inlineStr"/>
      <c r="G25" t="inlineStr"/>
      <c r="H25" t="inlineStr"/>
      <c r="J25" t="inlineStr"/>
      <c r="K25" t="inlineStr"/>
      <c r="L25" t="inlineStr">
        <is>
          <t>中秋節放假</t>
        </is>
      </c>
    </row>
    <row r="26" ht="22" customHeight="1" s="39">
      <c r="A26" t="inlineStr">
        <is>
          <t>9/28</t>
        </is>
      </c>
      <c r="B26" t="inlineStr">
        <is>
          <t>一</t>
        </is>
      </c>
      <c r="C26" t="inlineStr"/>
      <c r="D26" t="inlineStr"/>
      <c r="E26" t="inlineStr"/>
      <c r="F26" t="inlineStr"/>
      <c r="G26" t="inlineStr"/>
      <c r="H26" t="inlineStr"/>
      <c r="J26" t="inlineStr"/>
      <c r="K26" t="inlineStr"/>
      <c r="L26" t="inlineStr">
        <is>
          <t>教師節放假</t>
        </is>
      </c>
    </row>
    <row r="27" ht="22" customHeight="1" s="39">
      <c r="A27" t="inlineStr">
        <is>
          <t>9/29</t>
        </is>
      </c>
      <c r="B27" t="inlineStr">
        <is>
          <t>二</t>
        </is>
      </c>
      <c r="C27" t="inlineStr">
        <is>
          <t>營養麥片 + 鮮奶</t>
        </is>
      </c>
      <c r="D27" t="inlineStr">
        <is>
          <t>五穀飯</t>
        </is>
      </c>
      <c r="E27" t="inlineStr">
        <is>
          <t>蘿蔔燒肉</t>
        </is>
      </c>
      <c r="F27" t="inlineStr">
        <is>
          <t>肉燥滷蛋</t>
        </is>
      </c>
      <c r="G27" t="inlineStr">
        <is>
          <t>青菜</t>
        </is>
      </c>
      <c r="H27" t="inlineStr">
        <is>
          <t>味噌蛋花湯</t>
        </is>
      </c>
      <c r="I27" t="n">
        <v>722</v>
      </c>
      <c r="J27" t="inlineStr">
        <is>
          <t>香蕉</t>
        </is>
      </c>
      <c r="K27" t="inlineStr">
        <is>
          <t>蓮藕排骨湯</t>
        </is>
      </c>
      <c r="L27" t="inlineStr"/>
    </row>
    <row r="28" ht="22" customHeight="1" s="39">
      <c r="A28" t="inlineStr">
        <is>
          <t>9/30</t>
        </is>
      </c>
      <c r="B28" t="inlineStr">
        <is>
          <t>三</t>
        </is>
      </c>
      <c r="C28" t="inlineStr">
        <is>
          <t>養生饅頭 + 豆漿</t>
        </is>
      </c>
      <c r="D28" t="inlineStr">
        <is>
          <t>芝麻飯</t>
        </is>
      </c>
      <c r="E28" t="inlineStr">
        <is>
          <t>糖醋魚丁</t>
        </is>
      </c>
      <c r="F28" t="inlineStr">
        <is>
          <t>醬爆肉絲</t>
        </is>
      </c>
      <c r="G28" t="inlineStr">
        <is>
          <t>青菜</t>
        </is>
      </c>
      <c r="H28" t="inlineStr">
        <is>
          <t>玉米排骨湯</t>
        </is>
      </c>
      <c r="I28" t="n">
        <v>730</v>
      </c>
      <c r="J28" t="inlineStr">
        <is>
          <t>葡萄</t>
        </is>
      </c>
      <c r="K28" t="inlineStr">
        <is>
          <t>高麗蘿蔔豆腐湯</t>
        </is>
      </c>
      <c r="L28" t="inlineStr">
        <is>
          <t>每週三有機蔬菜</t>
        </is>
      </c>
    </row>
  </sheetData>
  <autoFilter ref="A5:L28"/>
  <mergeCells count="4">
    <mergeCell ref="A4:B4"/>
    <mergeCell ref="A2:L2"/>
    <mergeCell ref="D4:I4"/>
    <mergeCell ref="A1:L1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1" sqref="L22:L23 A1"/>
    </sheetView>
  </sheetViews>
  <sheetFormatPr baseColWidth="8" defaultRowHeight="15" zeroHeight="0" outlineLevelRow="0"/>
  <cols>
    <col width="8.67" customWidth="1" style="38" min="1" max="1"/>
    <col width="6.94" customWidth="1" style="38" min="2" max="2"/>
    <col width="10.4" customWidth="1" style="38" min="3" max="3"/>
    <col width="20.81" customWidth="1" style="38" min="4" max="4"/>
    <col width="19.08" customWidth="1" style="38" min="5" max="5"/>
    <col width="12.15" customWidth="1" style="38" min="6" max="6"/>
    <col width="15.61" customWidth="1" style="38" min="7" max="7"/>
    <col width="13.88" customWidth="1" style="38" min="8" max="9"/>
    <col width="17.34" customWidth="1" style="38" min="10" max="10"/>
    <col width="15.61" customWidth="1" style="38" min="11" max="11"/>
    <col width="10.4" customWidth="1" style="38" min="12" max="12"/>
    <col width="11.28" customWidth="1" style="38" min="13" max="13"/>
    <col width="20.81" customWidth="1" style="38" min="14" max="14"/>
    <col width="7.52" customWidth="1" style="38" min="15" max="1025"/>
  </cols>
  <sheetData>
    <row r="1" ht="15" customHeight="1" s="39">
      <c r="A1" s="40" t="inlineStr">
        <is>
          <t>統鮮美食 115年08+09月菜單 — 臺北市大安區龍安國小</t>
        </is>
      </c>
    </row>
    <row r="2" ht="15" customHeight="1" s="39">
      <c r="A2" s="41" t="inlineStr">
        <is>
          <t>全校全面使用【非基因改造】玉米及黃豆製品、無輻射污染食品 | 本園一律採用國內在地豬、雞肉 | 每日皆附 80g 有機或產銷履歷蔬菜</t>
        </is>
      </c>
    </row>
    <row r="4" ht="26" customHeight="1" s="39">
      <c r="A4" s="45" t="inlineStr">
        <is>
          <t>日期</t>
        </is>
      </c>
      <c r="B4" s="45" t="inlineStr">
        <is>
          <t>星期</t>
        </is>
      </c>
      <c r="C4" s="45" t="inlineStr">
        <is>
          <t>餐點類別</t>
        </is>
      </c>
      <c r="D4" s="45" t="inlineStr">
        <is>
          <t>主食名稱</t>
        </is>
      </c>
      <c r="E4" s="45" t="inlineStr">
        <is>
          <t>主菜名稱</t>
        </is>
      </c>
      <c r="F4" s="45" t="inlineStr">
        <is>
          <t>主菜肉品</t>
        </is>
      </c>
      <c r="G4" s="45" t="inlineStr">
        <is>
          <t>副菜名稱</t>
        </is>
      </c>
      <c r="H4" s="45" t="inlineStr">
        <is>
          <t>副菜屬性</t>
        </is>
      </c>
      <c r="I4" s="45" t="inlineStr">
        <is>
          <t>時令青菜</t>
        </is>
      </c>
      <c r="J4" s="45" t="inlineStr">
        <is>
          <t>蔬菜認證標準</t>
        </is>
      </c>
      <c r="K4" s="45" t="inlineStr">
        <is>
          <t>附附湯品</t>
        </is>
      </c>
      <c r="L4" s="45" t="inlineStr">
        <is>
          <t>湯品屬性</t>
        </is>
      </c>
      <c r="M4" s="45" t="inlineStr">
        <is>
          <t>熱量(kcal)</t>
        </is>
      </c>
      <c r="N4" s="45" t="inlineStr">
        <is>
          <t>烹調與特餐標記</t>
        </is>
      </c>
    </row>
    <row r="5" ht="21" customHeight="1" s="39">
      <c r="A5" t="inlineStr">
        <is>
          <t>8/31</t>
        </is>
      </c>
      <c r="B5" t="inlineStr">
        <is>
          <t>一</t>
        </is>
      </c>
      <c r="C5" t="inlineStr">
        <is>
          <t>一般</t>
        </is>
      </c>
      <c r="D5" t="inlineStr">
        <is>
          <t>糙米飯</t>
        </is>
      </c>
      <c r="E5" t="inlineStr">
        <is>
          <t>沙嗲燒肉</t>
        </is>
      </c>
      <c r="F5" t="inlineStr"/>
      <c r="G5" t="inlineStr">
        <is>
          <t>雞肉筑前煮</t>
        </is>
      </c>
      <c r="H5" t="inlineStr"/>
      <c r="I5" t="inlineStr">
        <is>
          <t>有機空心菜</t>
        </is>
      </c>
      <c r="J5" t="inlineStr"/>
      <c r="K5" t="inlineStr">
        <is>
          <t>鮮筍雞湯</t>
        </is>
      </c>
      <c r="L5" t="inlineStr"/>
      <c r="M5" t="n">
        <v>784</v>
      </c>
      <c r="N5" t="inlineStr"/>
    </row>
    <row r="6" ht="21" customHeight="1" s="39">
      <c r="A6" t="inlineStr">
        <is>
          <t>9/1</t>
        </is>
      </c>
      <c r="B6" t="inlineStr">
        <is>
          <t>二</t>
        </is>
      </c>
      <c r="C6" t="inlineStr">
        <is>
          <t>一般</t>
        </is>
      </c>
      <c r="D6" t="inlineStr">
        <is>
          <t>胚芽飯</t>
        </is>
      </c>
      <c r="E6" t="inlineStr">
        <is>
          <t>茄汁雞丁</t>
        </is>
      </c>
      <c r="F6" t="inlineStr"/>
      <c r="G6" t="inlineStr">
        <is>
          <t>香菇肉燥</t>
        </is>
      </c>
      <c r="H6" t="inlineStr"/>
      <c r="I6" t="inlineStr">
        <is>
          <t>有機白莧菜</t>
        </is>
      </c>
      <c r="J6" t="inlineStr"/>
      <c r="K6" t="inlineStr">
        <is>
          <t>羅宋湯</t>
        </is>
      </c>
      <c r="L6" t="inlineStr"/>
      <c r="M6" t="n">
        <v>722</v>
      </c>
      <c r="N6" t="inlineStr"/>
    </row>
    <row r="7" ht="21" customHeight="1" s="39">
      <c r="A7" t="inlineStr">
        <is>
          <t>9/2</t>
        </is>
      </c>
      <c r="B7" t="inlineStr">
        <is>
          <t>三</t>
        </is>
      </c>
      <c r="C7" t="inlineStr">
        <is>
          <t>一般</t>
        </is>
      </c>
      <c r="D7" t="inlineStr">
        <is>
          <t>義式肉醬麵</t>
        </is>
      </c>
      <c r="E7" t="inlineStr">
        <is>
          <t>唐揚炸雞X3</t>
        </is>
      </c>
      <c r="F7" t="inlineStr"/>
      <c r="G7" t="inlineStr">
        <is>
          <t>地瓜薯條X4</t>
        </is>
      </c>
      <c r="H7" t="inlineStr"/>
      <c r="I7" t="inlineStr">
        <is>
          <t>青菜</t>
        </is>
      </c>
      <c r="J7" t="inlineStr"/>
      <c r="K7" t="inlineStr">
        <is>
          <t>蔬菜蛋花湯</t>
        </is>
      </c>
      <c r="L7" t="inlineStr"/>
      <c r="M7" t="n">
        <v>715</v>
      </c>
      <c r="N7" t="inlineStr">
        <is>
          <t>每週三有機蔬菜</t>
        </is>
      </c>
    </row>
    <row r="8" ht="21" customHeight="1" s="39">
      <c r="A8" t="inlineStr">
        <is>
          <t>9/3</t>
        </is>
      </c>
      <c r="B8" t="inlineStr">
        <is>
          <t>四</t>
        </is>
      </c>
      <c r="C8" t="inlineStr">
        <is>
          <t>一般</t>
        </is>
      </c>
      <c r="D8" t="inlineStr">
        <is>
          <t>燕麥飯</t>
        </is>
      </c>
      <c r="E8" t="inlineStr">
        <is>
          <t>筍干滷肉</t>
        </is>
      </c>
      <c r="F8" t="inlineStr"/>
      <c r="G8" t="inlineStr">
        <is>
          <t>香烤翅腿X1</t>
        </is>
      </c>
      <c r="H8" t="inlineStr"/>
      <c r="I8" t="inlineStr">
        <is>
          <t>有機黑葉白菜</t>
        </is>
      </c>
      <c r="J8" t="inlineStr"/>
      <c r="K8" t="inlineStr">
        <is>
          <t>地瓜芋頭湯</t>
        </is>
      </c>
      <c r="L8" t="inlineStr"/>
      <c r="M8" t="n">
        <v>731</v>
      </c>
      <c r="N8" t="inlineStr"/>
    </row>
    <row r="9" ht="21" customHeight="1" s="39">
      <c r="A9" t="inlineStr">
        <is>
          <t>9/4</t>
        </is>
      </c>
      <c r="B9" t="inlineStr">
        <is>
          <t>五</t>
        </is>
      </c>
      <c r="C9" t="inlineStr">
        <is>
          <t>一般</t>
        </is>
      </c>
      <c r="D9" t="inlineStr">
        <is>
          <t>五穀飯</t>
        </is>
      </c>
      <c r="E9" t="inlineStr">
        <is>
          <t>糖醋里肌</t>
        </is>
      </c>
      <c r="F9" t="inlineStr"/>
      <c r="G9" t="inlineStr">
        <is>
          <t>銀芽肉絲</t>
        </is>
      </c>
      <c r="H9" t="inlineStr"/>
      <c r="I9" t="inlineStr">
        <is>
          <t>青菜</t>
        </is>
      </c>
      <c r="J9" t="inlineStr"/>
      <c r="K9" t="inlineStr">
        <is>
          <t>關東煮</t>
        </is>
      </c>
      <c r="L9" t="inlineStr"/>
      <c r="M9" t="n">
        <v>756</v>
      </c>
      <c r="N9" t="inlineStr">
        <is>
          <t>蔬食日</t>
        </is>
      </c>
    </row>
    <row r="10" ht="21" customHeight="1" s="39">
      <c r="A10" t="inlineStr">
        <is>
          <t>9/7</t>
        </is>
      </c>
      <c r="B10" t="inlineStr">
        <is>
          <t>一</t>
        </is>
      </c>
      <c r="C10" t="inlineStr">
        <is>
          <t>一般</t>
        </is>
      </c>
      <c r="D10" t="inlineStr">
        <is>
          <t>胚芽飯</t>
        </is>
      </c>
      <c r="E10" t="inlineStr">
        <is>
          <t>洋釀翅腿X2</t>
        </is>
      </c>
      <c r="F10" t="inlineStr"/>
      <c r="G10" t="inlineStr">
        <is>
          <t>回鍋肉片</t>
        </is>
      </c>
      <c r="H10" t="inlineStr"/>
      <c r="I10" t="inlineStr">
        <is>
          <t>有機荷葉白菜</t>
        </is>
      </c>
      <c r="J10" t="inlineStr"/>
      <c r="K10" t="inlineStr">
        <is>
          <t>肉骨茶湯</t>
        </is>
      </c>
      <c r="L10" t="inlineStr"/>
      <c r="M10" t="n">
        <v>732.5</v>
      </c>
      <c r="N10" t="inlineStr">
        <is>
          <t>慶生會</t>
        </is>
      </c>
    </row>
    <row r="11" ht="21" customHeight="1" s="39">
      <c r="A11" t="inlineStr">
        <is>
          <t>9/8</t>
        </is>
      </c>
      <c r="B11" t="inlineStr">
        <is>
          <t>二</t>
        </is>
      </c>
      <c r="C11" t="inlineStr">
        <is>
          <t>一般</t>
        </is>
      </c>
      <c r="D11" t="inlineStr">
        <is>
          <t>糙米飯</t>
        </is>
      </c>
      <c r="E11" t="inlineStr">
        <is>
          <t>金喜肉排</t>
        </is>
      </c>
      <c r="F11" t="inlineStr"/>
      <c r="G11" t="inlineStr">
        <is>
          <t>干片肉絲</t>
        </is>
      </c>
      <c r="H11" t="inlineStr"/>
      <c r="I11" t="inlineStr">
        <is>
          <t>有機小松菜</t>
        </is>
      </c>
      <c r="J11" t="inlineStr"/>
      <c r="K11" t="inlineStr">
        <is>
          <t>玉米濃湯</t>
        </is>
      </c>
      <c r="L11" t="inlineStr"/>
      <c r="M11" t="n">
        <v>716</v>
      </c>
      <c r="N11" t="inlineStr"/>
    </row>
    <row r="12" ht="21" customHeight="1" s="39">
      <c r="A12" t="inlineStr">
        <is>
          <t>9/9</t>
        </is>
      </c>
      <c r="B12" t="inlineStr">
        <is>
          <t>三</t>
        </is>
      </c>
      <c r="C12" t="inlineStr">
        <is>
          <t>一般</t>
        </is>
      </c>
      <c r="D12" t="inlineStr">
        <is>
          <t>白飯</t>
        </is>
      </c>
      <c r="E12" t="inlineStr">
        <is>
          <t>避風塘燒雞</t>
        </is>
      </c>
      <c r="F12" t="inlineStr"/>
      <c r="G12" t="inlineStr">
        <is>
          <t>碎瓜仔肉</t>
        </is>
      </c>
      <c r="H12" t="inlineStr"/>
      <c r="I12" t="inlineStr">
        <is>
          <t>青菜</t>
        </is>
      </c>
      <c r="J12" t="inlineStr"/>
      <c r="K12" t="inlineStr">
        <is>
          <t>竹筍排骨湯</t>
        </is>
      </c>
      <c r="L12" t="inlineStr"/>
      <c r="M12" t="n">
        <v>649</v>
      </c>
      <c r="N12" t="inlineStr">
        <is>
          <t>每週三有機蔬菜</t>
        </is>
      </c>
    </row>
    <row r="13" ht="21" customHeight="1" s="39">
      <c r="A13" t="inlineStr">
        <is>
          <t>9/10</t>
        </is>
      </c>
      <c r="B13" t="inlineStr">
        <is>
          <t>四</t>
        </is>
      </c>
      <c r="C13" t="inlineStr">
        <is>
          <t>一般</t>
        </is>
      </c>
      <c r="D13" t="inlineStr">
        <is>
          <t>海苔香鬆飯</t>
        </is>
      </c>
      <c r="E13" t="inlineStr">
        <is>
          <t>醬爆肉絲</t>
        </is>
      </c>
      <c r="F13" t="inlineStr"/>
      <c r="G13" t="inlineStr">
        <is>
          <t>柴魚蒸蛋</t>
        </is>
      </c>
      <c r="H13" t="inlineStr"/>
      <c r="I13" t="inlineStr">
        <is>
          <t>有機空心菜</t>
        </is>
      </c>
      <c r="J13" t="inlineStr"/>
      <c r="K13" t="inlineStr">
        <is>
          <t>柴魚味噌湯</t>
        </is>
      </c>
      <c r="L13" t="inlineStr"/>
      <c r="M13" t="n">
        <v>681</v>
      </c>
      <c r="N13" t="inlineStr"/>
    </row>
    <row r="14" ht="21" customHeight="1" s="39">
      <c r="A14" t="inlineStr">
        <is>
          <t>9/11</t>
        </is>
      </c>
      <c r="B14" t="inlineStr">
        <is>
          <t>五</t>
        </is>
      </c>
      <c r="C14" t="inlineStr">
        <is>
          <t>一般</t>
        </is>
      </c>
      <c r="D14" t="inlineStr">
        <is>
          <t>紅藜飯</t>
        </is>
      </c>
      <c r="E14" t="inlineStr">
        <is>
          <t>蘿蔔燉肉</t>
        </is>
      </c>
      <c r="F14" t="inlineStr"/>
      <c r="G14" t="inlineStr">
        <is>
          <t>玉米雞蓉</t>
        </is>
      </c>
      <c r="H14" t="inlineStr"/>
      <c r="I14" t="inlineStr">
        <is>
          <t>青菜</t>
        </is>
      </c>
      <c r="J14" t="inlineStr"/>
      <c r="K14" t="inlineStr">
        <is>
          <t>南瓜濃湯</t>
        </is>
      </c>
      <c r="L14" t="inlineStr"/>
      <c r="M14" t="n">
        <v>700</v>
      </c>
      <c r="N14" t="inlineStr"/>
    </row>
    <row r="15" ht="21" customHeight="1" s="39">
      <c r="A15" t="inlineStr">
        <is>
          <t>9/14</t>
        </is>
      </c>
      <c r="B15" t="inlineStr">
        <is>
          <t>一</t>
        </is>
      </c>
      <c r="C15" t="inlineStr">
        <is>
          <t>一般</t>
        </is>
      </c>
      <c r="D15" t="inlineStr">
        <is>
          <t>酢醬麵</t>
        </is>
      </c>
      <c r="E15" t="inlineStr">
        <is>
          <t>洋蔥豬排X1</t>
        </is>
      </c>
      <c r="F15" t="inlineStr"/>
      <c r="G15" t="inlineStr">
        <is>
          <t>洋芋雞丁</t>
        </is>
      </c>
      <c r="H15" t="inlineStr"/>
      <c r="I15" t="inlineStr">
        <is>
          <t>有機小白菜</t>
        </is>
      </c>
      <c r="J15" t="inlineStr"/>
      <c r="K15" t="inlineStr">
        <is>
          <t>冬瓜排骨湯</t>
        </is>
      </c>
      <c r="L15" t="inlineStr"/>
      <c r="M15" t="n">
        <v>673</v>
      </c>
      <c r="N15" t="inlineStr"/>
    </row>
    <row r="16" ht="21" customHeight="1" s="39">
      <c r="A16" t="inlineStr">
        <is>
          <t>9/15</t>
        </is>
      </c>
      <c r="B16" t="inlineStr">
        <is>
          <t>二</t>
        </is>
      </c>
      <c r="C16" t="inlineStr">
        <is>
          <t>一般</t>
        </is>
      </c>
      <c r="D16" t="inlineStr">
        <is>
          <t>胚芽飯</t>
        </is>
      </c>
      <c r="E16" t="inlineStr">
        <is>
          <t>佛蒙特咖哩</t>
        </is>
      </c>
      <c r="F16" t="inlineStr"/>
      <c r="G16" t="inlineStr">
        <is>
          <t>京醬甜不辣</t>
        </is>
      </c>
      <c r="H16" t="inlineStr"/>
      <c r="I16" t="inlineStr">
        <is>
          <t>有機白莧菜</t>
        </is>
      </c>
      <c r="J16" t="inlineStr"/>
      <c r="K16" t="inlineStr">
        <is>
          <t>帶芽蛋花湯</t>
        </is>
      </c>
      <c r="L16" t="inlineStr"/>
      <c r="M16" t="n">
        <v>694</v>
      </c>
      <c r="N16" t="inlineStr"/>
    </row>
    <row r="17" ht="21" customHeight="1" s="39">
      <c r="A17" t="inlineStr">
        <is>
          <t>9/16</t>
        </is>
      </c>
      <c r="B17" t="inlineStr">
        <is>
          <t>三</t>
        </is>
      </c>
      <c r="C17" t="inlineStr">
        <is>
          <t>一般</t>
        </is>
      </c>
      <c r="D17" t="inlineStr">
        <is>
          <t>白飯</t>
        </is>
      </c>
      <c r="E17" t="inlineStr">
        <is>
          <t>醬燒雞塊</t>
        </is>
      </c>
      <c r="F17" t="inlineStr"/>
      <c r="G17" t="inlineStr">
        <is>
          <t>鮮筍肉絲</t>
        </is>
      </c>
      <c r="H17" t="inlineStr"/>
      <c r="I17" t="inlineStr">
        <is>
          <t>有機味美菜</t>
        </is>
      </c>
      <c r="J17" t="inlineStr"/>
      <c r="K17" t="inlineStr">
        <is>
          <t>酸辣湯</t>
        </is>
      </c>
      <c r="L17" t="inlineStr"/>
      <c r="M17" t="n">
        <v>687</v>
      </c>
      <c r="N17" t="inlineStr">
        <is>
          <t>每週三有機蔬菜</t>
        </is>
      </c>
    </row>
    <row r="18" ht="21" customHeight="1" s="39">
      <c r="A18" t="inlineStr">
        <is>
          <t>9/17</t>
        </is>
      </c>
      <c r="B18" t="inlineStr">
        <is>
          <t>四</t>
        </is>
      </c>
      <c r="C18" t="inlineStr">
        <is>
          <t>一般</t>
        </is>
      </c>
      <c r="D18" t="inlineStr">
        <is>
          <t>五穀飯</t>
        </is>
      </c>
      <c r="E18" t="inlineStr">
        <is>
          <t>奶油雞丁</t>
        </is>
      </c>
      <c r="F18" t="inlineStr"/>
      <c r="G18" t="inlineStr">
        <is>
          <t>香菇肉燥</t>
        </is>
      </c>
      <c r="H18" t="inlineStr"/>
      <c r="I18" t="inlineStr">
        <is>
          <t>青菜</t>
        </is>
      </c>
      <c r="J18" t="inlineStr"/>
      <c r="K18" t="inlineStr">
        <is>
          <t>蘿蔔湯</t>
        </is>
      </c>
      <c r="L18" t="inlineStr"/>
      <c r="M18" t="n">
        <v>667</v>
      </c>
      <c r="N18" t="inlineStr"/>
    </row>
    <row r="19" ht="21" customHeight="1" s="39">
      <c r="A19" t="inlineStr">
        <is>
          <t>9/18</t>
        </is>
      </c>
      <c r="B19" t="inlineStr">
        <is>
          <t>五</t>
        </is>
      </c>
      <c r="C19" t="inlineStr">
        <is>
          <t>一般</t>
        </is>
      </c>
      <c r="D19" t="inlineStr">
        <is>
          <t>糙米飯</t>
        </is>
      </c>
      <c r="E19" t="inlineStr">
        <is>
          <t>腰果雞丁</t>
        </is>
      </c>
      <c r="F19" t="inlineStr"/>
      <c r="G19" t="inlineStr">
        <is>
          <t>洋蔥炒蛋</t>
        </is>
      </c>
      <c r="H19" t="inlineStr"/>
      <c r="I19" t="inlineStr">
        <is>
          <t>有機木耳白莧菜</t>
        </is>
      </c>
      <c r="J19" t="inlineStr"/>
      <c r="K19" t="inlineStr">
        <is>
          <t>白菜肉絲湯</t>
        </is>
      </c>
      <c r="L19" t="inlineStr"/>
      <c r="M19" t="n">
        <v>730</v>
      </c>
      <c r="N19" t="inlineStr"/>
    </row>
    <row r="20" ht="21" customHeight="1" s="39">
      <c r="A20" t="inlineStr">
        <is>
          <t>9/21</t>
        </is>
      </c>
      <c r="B20" t="inlineStr">
        <is>
          <t>一</t>
        </is>
      </c>
      <c r="C20" t="inlineStr">
        <is>
          <t>一般</t>
        </is>
      </c>
      <c r="D20" t="inlineStr">
        <is>
          <t>地瓜飯</t>
        </is>
      </c>
      <c r="E20" t="inlineStr">
        <is>
          <t>西式燉肉</t>
        </is>
      </c>
      <c r="F20" t="inlineStr"/>
      <c r="G20" t="inlineStr">
        <is>
          <t>海苔豆腐</t>
        </is>
      </c>
      <c r="H20" t="inlineStr"/>
      <c r="I20" t="inlineStr">
        <is>
          <t>有機空心菜</t>
        </is>
      </c>
      <c r="J20" t="inlineStr"/>
      <c r="K20" t="inlineStr">
        <is>
          <t>香菇雞湯</t>
        </is>
      </c>
      <c r="L20" t="inlineStr"/>
      <c r="M20" t="n">
        <v>764</v>
      </c>
      <c r="N20" t="inlineStr"/>
    </row>
    <row r="21" ht="21" customHeight="1" s="39">
      <c r="A21" t="inlineStr">
        <is>
          <t>9/22</t>
        </is>
      </c>
      <c r="B21" t="inlineStr">
        <is>
          <t>二</t>
        </is>
      </c>
      <c r="C21" t="inlineStr">
        <is>
          <t>一般</t>
        </is>
      </c>
      <c r="D21" t="inlineStr">
        <is>
          <t>燕麥飯</t>
        </is>
      </c>
      <c r="E21" t="inlineStr">
        <is>
          <t>嫩雞親子丼</t>
        </is>
      </c>
      <c r="F21" t="inlineStr"/>
      <c r="G21" t="inlineStr">
        <is>
          <t>吐魠魚條</t>
        </is>
      </c>
      <c r="H21" t="inlineStr"/>
      <c r="I21" t="inlineStr">
        <is>
          <t>青菜</t>
        </is>
      </c>
      <c r="J21" t="inlineStr"/>
      <c r="K21" t="inlineStr">
        <is>
          <t>綠豆麥片湯</t>
        </is>
      </c>
      <c r="L21" t="inlineStr"/>
      <c r="M21" t="n">
        <v>700</v>
      </c>
      <c r="N21" t="inlineStr"/>
    </row>
    <row r="22" ht="21" customHeight="1" s="39">
      <c r="A22" t="inlineStr">
        <is>
          <t>9/23</t>
        </is>
      </c>
      <c r="B22" t="inlineStr">
        <is>
          <t>三</t>
        </is>
      </c>
      <c r="C22" t="inlineStr">
        <is>
          <t>一般</t>
        </is>
      </c>
      <c r="D22" t="inlineStr">
        <is>
          <t>香菇油飯</t>
        </is>
      </c>
      <c r="E22" t="inlineStr">
        <is>
          <t>豆干燒雞</t>
        </is>
      </c>
      <c r="F22" t="inlineStr"/>
      <c r="G22" t="inlineStr">
        <is>
          <t>蛋酥白菜</t>
        </is>
      </c>
      <c r="H22" t="inlineStr"/>
      <c r="I22" t="inlineStr">
        <is>
          <t>有機黑葉白菜</t>
        </is>
      </c>
      <c r="J22" t="inlineStr"/>
      <c r="K22" t="inlineStr">
        <is>
          <t>蘑菇濃湯</t>
        </is>
      </c>
      <c r="L22" t="inlineStr"/>
      <c r="M22" t="n">
        <v>727.5</v>
      </c>
      <c r="N22" t="inlineStr">
        <is>
          <t>每週三有機蔬菜</t>
        </is>
      </c>
    </row>
    <row r="23" ht="21" customHeight="1" s="39">
      <c r="A23" t="inlineStr">
        <is>
          <t>9/24</t>
        </is>
      </c>
      <c r="B23" t="inlineStr">
        <is>
          <t>四</t>
        </is>
      </c>
      <c r="C23" t="inlineStr">
        <is>
          <t>一般</t>
        </is>
      </c>
      <c r="D23" t="inlineStr">
        <is>
          <t>白飯</t>
        </is>
      </c>
      <c r="E23" t="inlineStr">
        <is>
          <t>三杯雞</t>
        </is>
      </c>
      <c r="F23" t="inlineStr"/>
      <c r="G23" t="inlineStr">
        <is>
          <t>番茄炒蛋</t>
        </is>
      </c>
      <c r="H23" t="inlineStr"/>
      <c r="I23" t="inlineStr">
        <is>
          <t>有機白莧菜</t>
        </is>
      </c>
      <c r="J23" t="inlineStr"/>
      <c r="K23" t="inlineStr">
        <is>
          <t>竹筍排骨湯</t>
        </is>
      </c>
      <c r="L23" t="inlineStr"/>
      <c r="M23" t="n">
        <v>687</v>
      </c>
      <c r="N23" t="inlineStr"/>
    </row>
    <row r="24" ht="21" customHeight="1" s="39">
      <c r="A24" t="inlineStr">
        <is>
          <t>9/25</t>
        </is>
      </c>
      <c r="B24" t="inlineStr">
        <is>
          <t>五</t>
        </is>
      </c>
      <c r="C24" t="inlineStr">
        <is>
          <t>放假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>
        <is>
          <t>中秋節放假</t>
        </is>
      </c>
    </row>
    <row r="25" ht="21" customHeight="1" s="39">
      <c r="A25" t="inlineStr">
        <is>
          <t>9/28</t>
        </is>
      </c>
      <c r="B25" t="inlineStr">
        <is>
          <t>一</t>
        </is>
      </c>
      <c r="C25" t="inlineStr">
        <is>
          <t>放假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>
        <is>
          <t>教師節放假</t>
        </is>
      </c>
    </row>
    <row r="26" ht="21" customHeight="1" s="39">
      <c r="A26" t="inlineStr">
        <is>
          <t>9/29</t>
        </is>
      </c>
      <c r="B26" t="inlineStr">
        <is>
          <t>二</t>
        </is>
      </c>
      <c r="C26" t="inlineStr">
        <is>
          <t>一般</t>
        </is>
      </c>
      <c r="D26" t="inlineStr">
        <is>
          <t>五穀飯</t>
        </is>
      </c>
      <c r="E26" t="inlineStr">
        <is>
          <t>蘿蔔燒肉</t>
        </is>
      </c>
      <c r="F26" t="inlineStr"/>
      <c r="G26" t="inlineStr">
        <is>
          <t>肉燥滷蛋</t>
        </is>
      </c>
      <c r="H26" t="inlineStr"/>
      <c r="I26" t="inlineStr">
        <is>
          <t>青菜</t>
        </is>
      </c>
      <c r="J26" t="inlineStr"/>
      <c r="K26" t="inlineStr">
        <is>
          <t>味噌蛋花湯</t>
        </is>
      </c>
      <c r="L26" t="inlineStr"/>
      <c r="M26" t="n">
        <v>722</v>
      </c>
      <c r="N26" t="inlineStr"/>
    </row>
    <row r="27" ht="21" customHeight="1" s="39">
      <c r="A27" t="inlineStr">
        <is>
          <t>9/30</t>
        </is>
      </c>
      <c r="B27" t="inlineStr">
        <is>
          <t>三</t>
        </is>
      </c>
      <c r="C27" t="inlineStr">
        <is>
          <t>一般</t>
        </is>
      </c>
      <c r="D27" t="inlineStr">
        <is>
          <t>芝麻飯</t>
        </is>
      </c>
      <c r="E27" t="inlineStr">
        <is>
          <t>糖醋魚丁</t>
        </is>
      </c>
      <c r="F27" t="inlineStr"/>
      <c r="G27" t="inlineStr">
        <is>
          <t>醬爆肉絲</t>
        </is>
      </c>
      <c r="H27" t="inlineStr"/>
      <c r="I27" t="inlineStr">
        <is>
          <t>青菜</t>
        </is>
      </c>
      <c r="J27" t="inlineStr"/>
      <c r="K27" t="inlineStr">
        <is>
          <t>玉米排骨湯</t>
        </is>
      </c>
      <c r="L27" t="inlineStr"/>
      <c r="M27" t="n">
        <v>730</v>
      </c>
      <c r="N27" t="inlineStr">
        <is>
          <t>每週三有機蔬菜</t>
        </is>
      </c>
    </row>
    <row r="28" ht="24" customHeight="1" s="39"/>
  </sheetData>
  <autoFilter ref="A4:N27"/>
  <mergeCells count="3">
    <mergeCell ref="A2:N2"/>
    <mergeCell ref="A28:L28"/>
    <mergeCell ref="A1:N1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1" sqref="L22:L23 A1"/>
    </sheetView>
  </sheetViews>
  <sheetFormatPr baseColWidth="8" defaultRowHeight="15" zeroHeight="0" outlineLevelRow="0"/>
  <cols>
    <col width="8.67" customWidth="1" style="38" min="1" max="1"/>
    <col width="6.94" customWidth="1" style="38" min="2" max="2"/>
    <col width="19.08" customWidth="1" style="38" min="3" max="3"/>
    <col width="13.88" customWidth="1" style="38" min="4" max="4"/>
    <col width="12.15" customWidth="1" style="38" min="5" max="5"/>
    <col width="19.08" customWidth="1" style="38" min="6" max="6"/>
    <col width="13.88" customWidth="1" style="38" min="7" max="7"/>
    <col width="22.55" customWidth="1" style="38" min="8" max="8"/>
    <col width="7.52" customWidth="1" style="38" min="9" max="1025"/>
  </cols>
  <sheetData>
    <row r="1" ht="15" customHeight="1" s="39">
      <c r="A1" s="40" t="inlineStr">
        <is>
          <t>臺北市大安區龍安國小附設幼兒園 115學年度9月份餐點表 (早點・水果・午點)</t>
        </is>
      </c>
    </row>
    <row r="2" ht="15" customHeight="1" s="39">
      <c r="A2" s="41" t="inlineStr">
        <is>
          <t>備註：1. 每個月的第一個星期五為蔬食日 | 2. 每週三提供有機蔬菜 | 3. 本園一律採用國內在地豬、牛、雞肉 | 4. 注意易過敏食物</t>
        </is>
      </c>
    </row>
    <row r="4" ht="26" customHeight="1" s="39">
      <c r="A4" s="49" t="inlineStr">
        <is>
          <t>日期</t>
        </is>
      </c>
      <c r="B4" s="49" t="inlineStr">
        <is>
          <t>星期</t>
        </is>
      </c>
      <c r="C4" s="49" t="inlineStr">
        <is>
          <t>早點主食品項</t>
        </is>
      </c>
      <c r="D4" s="49" t="inlineStr">
        <is>
          <t>早點飲品/配餐</t>
        </is>
      </c>
      <c r="E4" s="49" t="inlineStr">
        <is>
          <t>當季新鮮水果</t>
        </is>
      </c>
      <c r="F4" s="49" t="inlineStr">
        <is>
          <t>午點主食品項</t>
        </is>
      </c>
      <c r="G4" s="49" t="inlineStr">
        <is>
          <t>午點飲品/配餐</t>
        </is>
      </c>
      <c r="H4" s="49" t="inlineStr">
        <is>
          <t>活動與飲食備註</t>
        </is>
      </c>
    </row>
    <row r="5" ht="21" customHeight="1" s="39">
      <c r="A5" t="inlineStr">
        <is>
          <t>8/31</t>
        </is>
      </c>
      <c r="B5" t="inlineStr">
        <is>
          <t>一</t>
        </is>
      </c>
      <c r="C5" t="inlineStr">
        <is>
          <t>蜂蜜麥片</t>
        </is>
      </c>
      <c r="D5" t="inlineStr">
        <is>
          <t>鮮奶</t>
        </is>
      </c>
      <c r="E5" t="inlineStr">
        <is>
          <t>香蕉</t>
        </is>
      </c>
      <c r="F5" t="inlineStr">
        <is>
          <t>香菇瘦肉粥</t>
        </is>
      </c>
      <c r="G5" t="inlineStr">
        <is>
          <t>-</t>
        </is>
      </c>
      <c r="H5" t="inlineStr"/>
    </row>
    <row r="6" ht="21" customHeight="1" s="39">
      <c r="A6" t="inlineStr">
        <is>
          <t>9/1</t>
        </is>
      </c>
      <c r="B6" t="inlineStr">
        <is>
          <t>二</t>
        </is>
      </c>
      <c r="C6" t="inlineStr">
        <is>
          <t>白菜蛋花湯餃</t>
        </is>
      </c>
      <c r="D6" t="inlineStr">
        <is>
          <t>-</t>
        </is>
      </c>
      <c r="E6" t="inlineStr">
        <is>
          <t>西瓜</t>
        </is>
      </c>
      <c r="F6" t="inlineStr">
        <is>
          <t>豆沙包</t>
        </is>
      </c>
      <c r="G6" t="inlineStr">
        <is>
          <t>-</t>
        </is>
      </c>
      <c r="H6" t="inlineStr"/>
    </row>
    <row r="7" ht="21" customHeight="1" s="39">
      <c r="A7" t="inlineStr">
        <is>
          <t>9/2</t>
        </is>
      </c>
      <c r="B7" t="inlineStr">
        <is>
          <t>三</t>
        </is>
      </c>
      <c r="C7" t="inlineStr">
        <is>
          <t>香菇貢丸細粉</t>
        </is>
      </c>
      <c r="D7" t="inlineStr">
        <is>
          <t>-</t>
        </is>
      </c>
      <c r="E7" t="inlineStr">
        <is>
          <t>奇異果</t>
        </is>
      </c>
      <c r="F7" t="inlineStr">
        <is>
          <t>麥茶</t>
        </is>
      </c>
      <c r="G7" t="inlineStr">
        <is>
          <t>水煮蛋</t>
        </is>
      </c>
      <c r="H7" t="inlineStr">
        <is>
          <t>每週三有機蔬菜</t>
        </is>
      </c>
    </row>
    <row r="8" ht="21" customHeight="1" s="39">
      <c r="A8" t="inlineStr">
        <is>
          <t>9/3</t>
        </is>
      </c>
      <c r="B8" t="inlineStr">
        <is>
          <t>四</t>
        </is>
      </c>
      <c r="C8" t="inlineStr">
        <is>
          <t>全麥饅頭</t>
        </is>
      </c>
      <c r="D8" t="inlineStr">
        <is>
          <t>鮮奶</t>
        </is>
      </c>
      <c r="E8" t="inlineStr">
        <is>
          <t>芭樂</t>
        </is>
      </c>
      <c r="F8" t="inlineStr">
        <is>
          <t>綠豆薏仁湯</t>
        </is>
      </c>
      <c r="G8" t="inlineStr">
        <is>
          <t>-</t>
        </is>
      </c>
      <c r="H8" t="inlineStr"/>
    </row>
    <row r="9" ht="21" customHeight="1" s="39">
      <c r="A9" t="inlineStr">
        <is>
          <t>9/4</t>
        </is>
      </c>
      <c r="B9" t="inlineStr">
        <is>
          <t>五</t>
        </is>
      </c>
      <c r="C9" t="inlineStr">
        <is>
          <t>清粥小菜</t>
        </is>
      </c>
      <c r="D9" t="inlineStr">
        <is>
          <t>-</t>
        </is>
      </c>
      <c r="E9" t="inlineStr">
        <is>
          <t>鳳梨</t>
        </is>
      </c>
      <c r="F9" t="inlineStr">
        <is>
          <t>紅豆麵包</t>
        </is>
      </c>
      <c r="G9" t="inlineStr">
        <is>
          <t>-</t>
        </is>
      </c>
      <c r="H9" t="inlineStr">
        <is>
          <t>蔬食日</t>
        </is>
      </c>
    </row>
    <row r="10" ht="21" customHeight="1" s="39">
      <c r="A10" t="inlineStr">
        <is>
          <t>9/7</t>
        </is>
      </c>
      <c r="B10" t="inlineStr">
        <is>
          <t>一</t>
        </is>
      </c>
      <c r="C10" t="inlineStr">
        <is>
          <t>生日蛋糕</t>
        </is>
      </c>
      <c r="D10" t="inlineStr">
        <is>
          <t>鮮奶</t>
        </is>
      </c>
      <c r="E10" t="inlineStr">
        <is>
          <t>香蕉</t>
        </is>
      </c>
      <c r="F10" t="inlineStr">
        <is>
          <t>地瓜湯</t>
        </is>
      </c>
      <c r="G10" t="inlineStr">
        <is>
          <t>-</t>
        </is>
      </c>
      <c r="H10" t="inlineStr">
        <is>
          <t>慶生會</t>
        </is>
      </c>
    </row>
    <row r="11" ht="21" customHeight="1" s="39">
      <c r="A11" t="inlineStr">
        <is>
          <t>9/8</t>
        </is>
      </c>
      <c r="B11" t="inlineStr">
        <is>
          <t>二</t>
        </is>
      </c>
      <c r="C11" t="inlineStr">
        <is>
          <t>肉包</t>
        </is>
      </c>
      <c r="D11" t="inlineStr">
        <is>
          <t>-</t>
        </is>
      </c>
      <c r="E11" t="inlineStr">
        <is>
          <t>葡萄</t>
        </is>
      </c>
      <c r="F11" t="inlineStr">
        <is>
          <t>肉燥麵</t>
        </is>
      </c>
      <c r="G11" t="inlineStr">
        <is>
          <t>-</t>
        </is>
      </c>
      <c r="H11" t="inlineStr"/>
    </row>
    <row r="12" ht="21" customHeight="1" s="39">
      <c r="A12" t="inlineStr">
        <is>
          <t>9/9</t>
        </is>
      </c>
      <c r="B12" t="inlineStr">
        <is>
          <t>三</t>
        </is>
      </c>
      <c r="C12" t="inlineStr">
        <is>
          <t>芝麻包</t>
        </is>
      </c>
      <c r="D12" t="inlineStr">
        <is>
          <t>-</t>
        </is>
      </c>
      <c r="E12" t="inlineStr">
        <is>
          <t>火龍果</t>
        </is>
      </c>
      <c r="F12" t="inlineStr">
        <is>
          <t>蘿蔔糕湯</t>
        </is>
      </c>
      <c r="G12" t="inlineStr">
        <is>
          <t>-</t>
        </is>
      </c>
      <c r="H12" t="inlineStr">
        <is>
          <t>每週三有機蔬菜</t>
        </is>
      </c>
    </row>
    <row r="13" ht="21" customHeight="1" s="39">
      <c r="A13" t="inlineStr">
        <is>
          <t>9/10</t>
        </is>
      </c>
      <c r="B13" t="inlineStr">
        <is>
          <t>四</t>
        </is>
      </c>
      <c r="C13" t="inlineStr">
        <is>
          <t>銅鑼燒</t>
        </is>
      </c>
      <c r="D13" t="inlineStr">
        <is>
          <t>鮮奶</t>
        </is>
      </c>
      <c r="E13" t="inlineStr">
        <is>
          <t>芭樂</t>
        </is>
      </c>
      <c r="F13" t="inlineStr">
        <is>
          <t>檸檬愛玉</t>
        </is>
      </c>
      <c r="G13" t="inlineStr">
        <is>
          <t>-</t>
        </is>
      </c>
      <c r="H13" t="inlineStr"/>
    </row>
    <row r="14" ht="21" customHeight="1" s="39">
      <c r="A14" t="inlineStr">
        <is>
          <t>9/11</t>
        </is>
      </c>
      <c r="B14" t="inlineStr">
        <is>
          <t>五</t>
        </is>
      </c>
      <c r="C14" t="inlineStr">
        <is>
          <t>雞茸南瓜粥</t>
        </is>
      </c>
      <c r="D14" t="inlineStr">
        <is>
          <t>-</t>
        </is>
      </c>
      <c r="E14" t="inlineStr">
        <is>
          <t>蘋果</t>
        </is>
      </c>
      <c r="F14" t="inlineStr">
        <is>
          <t>優格</t>
        </is>
      </c>
      <c r="G14" t="inlineStr">
        <is>
          <t>-</t>
        </is>
      </c>
      <c r="H14" t="inlineStr"/>
    </row>
    <row r="15" ht="21" customHeight="1" s="39">
      <c r="A15" t="inlineStr">
        <is>
          <t>9/14</t>
        </is>
      </c>
      <c r="B15" t="inlineStr">
        <is>
          <t>一</t>
        </is>
      </c>
      <c r="C15" t="inlineStr">
        <is>
          <t>什錦果麥</t>
        </is>
      </c>
      <c r="D15" t="inlineStr">
        <is>
          <t>鮮奶</t>
        </is>
      </c>
      <c r="E15" t="inlineStr">
        <is>
          <t>香蕉</t>
        </is>
      </c>
      <c r="F15" t="inlineStr">
        <is>
          <t>蛋花雞絲麵</t>
        </is>
      </c>
      <c r="G15" t="inlineStr">
        <is>
          <t>-</t>
        </is>
      </c>
      <c r="H15" t="inlineStr"/>
    </row>
    <row r="16" ht="21" customHeight="1" s="39">
      <c r="A16" t="inlineStr">
        <is>
          <t>9/15</t>
        </is>
      </c>
      <c r="B16" t="inlineStr">
        <is>
          <t>二</t>
        </is>
      </c>
      <c r="C16" t="inlineStr">
        <is>
          <t>起酥蛋糕</t>
        </is>
      </c>
      <c r="D16" t="inlineStr">
        <is>
          <t>-</t>
        </is>
      </c>
      <c r="E16" t="inlineStr">
        <is>
          <t>西瓜</t>
        </is>
      </c>
      <c r="F16" t="inlineStr">
        <is>
          <t>味噌魚片粥</t>
        </is>
      </c>
      <c r="G16" t="inlineStr">
        <is>
          <t>-</t>
        </is>
      </c>
      <c r="H16" t="inlineStr"/>
    </row>
    <row r="17" ht="21" customHeight="1" s="39">
      <c r="A17" t="inlineStr">
        <is>
          <t>9/16</t>
        </is>
      </c>
      <c r="B17" t="inlineStr">
        <is>
          <t>三</t>
        </is>
      </c>
      <c r="C17" t="inlineStr">
        <is>
          <t>雜糧饅頭</t>
        </is>
      </c>
      <c r="D17" t="inlineStr">
        <is>
          <t>鮮奶</t>
        </is>
      </c>
      <c r="E17" t="inlineStr">
        <is>
          <t>芭樂</t>
        </is>
      </c>
      <c r="F17" t="inlineStr">
        <is>
          <t>山藥排骨湯</t>
        </is>
      </c>
      <c r="G17" t="inlineStr">
        <is>
          <t>-</t>
        </is>
      </c>
      <c r="H17" t="inlineStr">
        <is>
          <t>每週三有機蔬菜</t>
        </is>
      </c>
    </row>
    <row r="18" ht="21" customHeight="1" s="39">
      <c r="A18" t="inlineStr">
        <is>
          <t>9/17</t>
        </is>
      </c>
      <c r="B18" t="inlineStr">
        <is>
          <t>四</t>
        </is>
      </c>
      <c r="C18" t="inlineStr">
        <is>
          <t>鮮蔥麵包</t>
        </is>
      </c>
      <c r="D18" t="inlineStr">
        <is>
          <t>-</t>
        </is>
      </c>
      <c r="E18" t="inlineStr">
        <is>
          <t>奇異果</t>
        </is>
      </c>
      <c r="F18" t="inlineStr">
        <is>
          <t>魚片豆腐味噌湯</t>
        </is>
      </c>
      <c r="G18" t="inlineStr">
        <is>
          <t>-</t>
        </is>
      </c>
      <c r="H18" t="inlineStr"/>
    </row>
    <row r="19" ht="21" customHeight="1" s="39">
      <c r="A19" t="inlineStr">
        <is>
          <t>9/18</t>
        </is>
      </c>
      <c r="B19" t="inlineStr">
        <is>
          <t>五</t>
        </is>
      </c>
      <c r="C19" t="inlineStr">
        <is>
          <t>翡翠鹹粥</t>
        </is>
      </c>
      <c r="D19" t="inlineStr">
        <is>
          <t>-</t>
        </is>
      </c>
      <c r="E19" t="inlineStr">
        <is>
          <t>鳳梨</t>
        </is>
      </c>
      <c r="F19" t="inlineStr">
        <is>
          <t>布丁</t>
        </is>
      </c>
      <c r="G19" t="inlineStr">
        <is>
          <t>-</t>
        </is>
      </c>
      <c r="H19" t="inlineStr"/>
    </row>
    <row r="20" ht="21" customHeight="1" s="39">
      <c r="A20" t="inlineStr">
        <is>
          <t>9/21</t>
        </is>
      </c>
      <c r="B20" t="inlineStr">
        <is>
          <t>一</t>
        </is>
      </c>
      <c r="C20" t="inlineStr">
        <is>
          <t>水果麥片</t>
        </is>
      </c>
      <c r="D20" t="inlineStr">
        <is>
          <t>鮮奶</t>
        </is>
      </c>
      <c r="E20" t="inlineStr">
        <is>
          <t>香蕉</t>
        </is>
      </c>
      <c r="F20" t="inlineStr">
        <is>
          <t>水煮玉米</t>
        </is>
      </c>
      <c r="G20" t="inlineStr">
        <is>
          <t>-</t>
        </is>
      </c>
      <c r="H20" t="inlineStr"/>
    </row>
    <row r="21" ht="21" customHeight="1" s="39">
      <c r="A21" t="inlineStr">
        <is>
          <t>9/22</t>
        </is>
      </c>
      <c r="B21" t="inlineStr">
        <is>
          <t>二</t>
        </is>
      </c>
      <c r="C21" t="inlineStr">
        <is>
          <t>地瓜麵包</t>
        </is>
      </c>
      <c r="D21" t="inlineStr">
        <is>
          <t>-</t>
        </is>
      </c>
      <c r="E21" t="inlineStr">
        <is>
          <t>鳳梨</t>
        </is>
      </c>
      <c r="F21" t="inlineStr">
        <is>
          <t>絲瓜麵線</t>
        </is>
      </c>
      <c r="G21" t="inlineStr">
        <is>
          <t>-</t>
        </is>
      </c>
      <c r="H21" t="inlineStr"/>
    </row>
    <row r="22" ht="21" customHeight="1" s="39">
      <c r="A22" t="inlineStr">
        <is>
          <t>9/23</t>
        </is>
      </c>
      <c r="B22" t="inlineStr">
        <is>
          <t>三</t>
        </is>
      </c>
      <c r="C22" t="inlineStr">
        <is>
          <t>果醬吐司</t>
        </is>
      </c>
      <c r="D22" t="inlineStr">
        <is>
          <t>-</t>
        </is>
      </c>
      <c r="E22" t="inlineStr">
        <is>
          <t>奇異果</t>
        </is>
      </c>
      <c r="F22" t="inlineStr">
        <is>
          <t>青菜餛飩湯</t>
        </is>
      </c>
      <c r="G22" t="inlineStr">
        <is>
          <t>-</t>
        </is>
      </c>
      <c r="H22" t="inlineStr">
        <is>
          <t>每週三有機蔬菜</t>
        </is>
      </c>
    </row>
    <row r="23" ht="21" customHeight="1" s="39">
      <c r="A23" t="inlineStr">
        <is>
          <t>9/24</t>
        </is>
      </c>
      <c r="B23" t="inlineStr">
        <is>
          <t>四</t>
        </is>
      </c>
      <c r="C23" t="inlineStr">
        <is>
          <t>菠菜銀魚滑蛋粥</t>
        </is>
      </c>
      <c r="D23" t="inlineStr">
        <is>
          <t>-</t>
        </is>
      </c>
      <c r="E23" t="inlineStr">
        <is>
          <t>芭樂</t>
        </is>
      </c>
      <c r="F23" t="inlineStr">
        <is>
          <t>小月餅</t>
        </is>
      </c>
      <c r="G23" t="inlineStr">
        <is>
          <t>鮮奶</t>
        </is>
      </c>
      <c r="H23" t="inlineStr"/>
    </row>
    <row r="24" ht="21" customHeight="1" s="39">
      <c r="A24" t="inlineStr">
        <is>
          <t>9/25</t>
        </is>
      </c>
      <c r="B24" t="inlineStr">
        <is>
          <t>五</t>
        </is>
      </c>
      <c r="C24" t="inlineStr"/>
      <c r="D24" t="inlineStr"/>
      <c r="E24" t="inlineStr"/>
      <c r="F24" t="inlineStr"/>
      <c r="G24" t="inlineStr"/>
      <c r="H24" t="inlineStr">
        <is>
          <t>中秋節放假</t>
        </is>
      </c>
    </row>
    <row r="25" ht="21" customHeight="1" s="39">
      <c r="A25" t="inlineStr">
        <is>
          <t>9/28</t>
        </is>
      </c>
      <c r="B25" t="inlineStr">
        <is>
          <t>一</t>
        </is>
      </c>
      <c r="C25" t="inlineStr"/>
      <c r="D25" t="inlineStr"/>
      <c r="E25" t="inlineStr"/>
      <c r="F25" t="inlineStr"/>
      <c r="G25" t="inlineStr"/>
      <c r="H25" t="inlineStr">
        <is>
          <t>教師節放假</t>
        </is>
      </c>
    </row>
    <row r="26" ht="21" customHeight="1" s="39">
      <c r="A26" t="inlineStr">
        <is>
          <t>9/29</t>
        </is>
      </c>
      <c r="B26" t="inlineStr">
        <is>
          <t>二</t>
        </is>
      </c>
      <c r="C26" t="inlineStr">
        <is>
          <t>營養麥片</t>
        </is>
      </c>
      <c r="D26" t="inlineStr">
        <is>
          <t>鮮奶</t>
        </is>
      </c>
      <c r="E26" t="inlineStr">
        <is>
          <t>香蕉</t>
        </is>
      </c>
      <c r="F26" t="inlineStr">
        <is>
          <t>蓮藕排骨湯</t>
        </is>
      </c>
      <c r="G26" t="inlineStr">
        <is>
          <t>-</t>
        </is>
      </c>
      <c r="H26" t="inlineStr"/>
    </row>
    <row r="27" ht="21" customHeight="1" s="39">
      <c r="A27" t="inlineStr">
        <is>
          <t>9/30</t>
        </is>
      </c>
      <c r="B27" t="inlineStr">
        <is>
          <t>三</t>
        </is>
      </c>
      <c r="C27" t="inlineStr">
        <is>
          <t>養生饅頭</t>
        </is>
      </c>
      <c r="D27" t="inlineStr">
        <is>
          <t>豆漿</t>
        </is>
      </c>
      <c r="E27" t="inlineStr">
        <is>
          <t>葡萄</t>
        </is>
      </c>
      <c r="F27" t="inlineStr">
        <is>
          <t>高麗蘿蔔豆腐湯</t>
        </is>
      </c>
      <c r="G27" t="inlineStr">
        <is>
          <t>-</t>
        </is>
      </c>
      <c r="H27" t="inlineStr">
        <is>
          <t>每週三有機蔬菜</t>
        </is>
      </c>
    </row>
  </sheetData>
  <autoFilter ref="A4:H27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2:L23 A1"/>
    </sheetView>
  </sheetViews>
  <sheetFormatPr baseColWidth="8" defaultRowHeight="15" zeroHeight="0" outlineLevelRow="0"/>
  <cols>
    <col width="22.55" customWidth="1" style="38" min="1" max="1"/>
    <col width="12.15" customWidth="1" style="38" min="2" max="2"/>
    <col width="31.22" customWidth="1" style="38" min="3" max="3"/>
    <col width="5.21" customWidth="1" style="38" min="4" max="4"/>
    <col width="12.15" customWidth="1" style="38" min="5" max="10"/>
    <col width="7.52" customWidth="1" style="38" min="11" max="1025"/>
  </cols>
  <sheetData>
    <row r="1" ht="15" customHeight="1" s="39">
      <c r="A1" s="40" t="inlineStr">
        <is>
          <t>龍安國小暨附設幼兒園 115學年度9月份餐飲大數據與營養分析</t>
        </is>
      </c>
    </row>
    <row r="2" ht="15" customHeight="1" s="39">
      <c r="A2" s="41" t="inlineStr">
        <is>
          <t>本分析整合天仁美食午餐菜單與幼兒園三餐點心數據，評估熱量平衡、三大營養來源、全穀根莖比例與飲食多樣性。</t>
        </is>
      </c>
    </row>
    <row r="4" ht="15" customHeight="1" s="39">
      <c r="A4" s="50" t="inlineStr">
        <is>
          <t>午餐熱量關鍵統計 (Kcal)</t>
        </is>
      </c>
    </row>
    <row r="5" ht="20" customHeight="1" s="39">
      <c r="A5" s="51" t="inlineStr">
        <is>
          <t>供餐總日數</t>
        </is>
      </c>
      <c r="B5" s="52" t="n">
        <v>21</v>
      </c>
    </row>
    <row r="6" ht="20" customHeight="1" s="39">
      <c r="A6" s="51" t="inlineStr">
        <is>
          <t>平均每餐熱量</t>
        </is>
      </c>
      <c r="B6" s="53" t="n">
        <v>712.76</v>
      </c>
    </row>
    <row r="7" ht="20" customHeight="1" s="39">
      <c r="A7" s="51" t="inlineStr">
        <is>
          <t>熱量中位數</t>
        </is>
      </c>
      <c r="B7" s="52" t="n">
        <v>716</v>
      </c>
    </row>
    <row r="8" ht="20" customHeight="1" s="39">
      <c r="A8" s="51" t="inlineStr">
        <is>
          <t>最高熱量 (8/31)</t>
        </is>
      </c>
      <c r="B8" s="52" t="n">
        <v>784</v>
      </c>
    </row>
    <row r="9" ht="20" customHeight="1" s="39">
      <c r="A9" s="51" t="inlineStr">
        <is>
          <t>最低熱量 (9/9)</t>
        </is>
      </c>
      <c r="B9" s="52" t="n">
        <v>649</v>
      </c>
    </row>
    <row r="10" ht="20" customHeight="1" s="39">
      <c r="A10" s="51" t="inlineStr">
        <is>
          <t>熱量標準建議範圍</t>
        </is>
      </c>
      <c r="B10" s="54" t="inlineStr">
        <is>
          <t>600 - 750</t>
        </is>
      </c>
    </row>
    <row r="12" ht="15" customHeight="1" s="39">
      <c r="A12" s="50" t="inlineStr">
        <is>
          <t>午餐主菜肉品蛋白質來源分佈</t>
        </is>
      </c>
    </row>
    <row r="13" ht="15" customHeight="1" s="39">
      <c r="A13" s="48" t="inlineStr">
        <is>
          <t>肉品類別</t>
        </is>
      </c>
      <c r="B13" s="48" t="inlineStr">
        <is>
          <t>供應次數</t>
        </is>
      </c>
      <c r="C13" s="48" t="inlineStr">
        <is>
          <t>佔比</t>
        </is>
      </c>
    </row>
    <row r="14" ht="20" customHeight="1" s="39">
      <c r="A14" s="55" t="inlineStr">
        <is>
          <t>雞肉料理</t>
        </is>
      </c>
      <c r="B14" s="54">
        <f>COUNTIF(國小午餐明細!F5:F27, "雞肉")</f>
        <v/>
      </c>
      <c r="C14" s="56">
        <f>B14/$B$18</f>
        <v/>
      </c>
    </row>
    <row r="15" ht="20" customHeight="1" s="39">
      <c r="A15" s="55" t="inlineStr">
        <is>
          <t>豬肉料理</t>
        </is>
      </c>
      <c r="B15" s="54">
        <f>COUNTIF(國小午餐明細!F5:F27, "豬肉")</f>
        <v/>
      </c>
      <c r="C15" s="56">
        <f>B15/$B$18</f>
        <v/>
      </c>
    </row>
    <row r="16" ht="20" customHeight="1" s="39">
      <c r="A16" s="55" t="inlineStr">
        <is>
          <t>魚肉海鮮</t>
        </is>
      </c>
      <c r="B16" s="54">
        <f>COUNTIF(國小午餐明細!F5:F27, "魚肉海鮮")</f>
        <v/>
      </c>
      <c r="C16" s="56">
        <f>B16/$B$18</f>
        <v/>
      </c>
    </row>
    <row r="17" ht="20" customHeight="1" s="39">
      <c r="A17" s="55" t="inlineStr">
        <is>
          <t>豆蛋製品</t>
        </is>
      </c>
      <c r="B17" s="54" t="n">
        <v>0</v>
      </c>
      <c r="C17" s="56">
        <f>B17/$B$18</f>
        <v/>
      </c>
    </row>
    <row r="18" ht="22" customHeight="1" s="39">
      <c r="A18" s="57" t="inlineStr">
        <is>
          <t>合計供餐日</t>
        </is>
      </c>
      <c r="B18" s="58">
        <f>SUM(B14:B17)</f>
        <v/>
      </c>
      <c r="C18" s="59">
        <f>SUM(C14:C17)</f>
        <v/>
      </c>
    </row>
    <row r="20" ht="15" customHeight="1" s="39">
      <c r="A20" s="50" t="inlineStr">
        <is>
          <t>午餐食材特性與烹調型態分析</t>
        </is>
      </c>
    </row>
    <row r="21" ht="20" customHeight="1" s="39">
      <c r="A21" s="55" t="inlineStr">
        <is>
          <t>生鮮食材主菜日數</t>
        </is>
      </c>
      <c r="B21" s="60" t="n">
        <v>19</v>
      </c>
    </row>
    <row r="22" ht="20" customHeight="1" s="39">
      <c r="A22" s="55" t="inlineStr">
        <is>
          <t>加工調理品主菜日數</t>
        </is>
      </c>
      <c r="B22" s="60" t="n">
        <v>2</v>
      </c>
    </row>
    <row r="23" ht="20" customHeight="1" s="39">
      <c r="A23" s="55" t="inlineStr">
        <is>
          <t>主/副菜油炸品提供次數</t>
        </is>
      </c>
      <c r="B23" s="60" t="n">
        <v>4</v>
      </c>
    </row>
    <row r="24" ht="20" customHeight="1" s="39">
      <c r="A24" s="55" t="inlineStr">
        <is>
          <t>主廚精選餐日數</t>
        </is>
      </c>
      <c r="B24" s="60" t="n">
        <v>4</v>
      </c>
    </row>
    <row r="25" ht="20" customHeight="1" s="39">
      <c r="A25" s="55" t="inlineStr">
        <is>
          <t>特色主食特餐日數</t>
        </is>
      </c>
      <c r="B25" s="60" t="n">
        <v>4</v>
      </c>
    </row>
    <row r="26" ht="20" customHeight="1" s="39">
      <c r="A26" s="55" t="inlineStr">
        <is>
          <t>甜湯供應天數</t>
        </is>
      </c>
      <c r="B26" s="60" t="n">
        <v>2</v>
      </c>
    </row>
    <row r="27" ht="20" customHeight="1" s="39">
      <c r="A27" s="55" t="inlineStr">
        <is>
          <t>有機認證蔬菜日數 (80g)</t>
        </is>
      </c>
      <c r="B27" s="60" t="n">
        <v>12</v>
      </c>
    </row>
    <row r="28" ht="20" customHeight="1" s="39">
      <c r="A28" s="55" t="inlineStr">
        <is>
          <t>產銷履歷蔬菜日數 (80g)</t>
        </is>
      </c>
      <c r="B28" s="60" t="n">
        <v>9</v>
      </c>
    </row>
    <row r="29" ht="15" customHeight="1" s="39">
      <c r="A29" s="61" t="inlineStr">
        <is>
          <t>幼兒園當季水果提供次數統計</t>
        </is>
      </c>
    </row>
    <row r="30" ht="15" customHeight="1" s="39">
      <c r="A30" s="48" t="inlineStr">
        <is>
          <t>水果名稱</t>
        </is>
      </c>
      <c r="B30" s="48" t="inlineStr">
        <is>
          <t>提供天數</t>
        </is>
      </c>
      <c r="C30" s="48" t="inlineStr">
        <is>
          <t>營養亮點</t>
        </is>
      </c>
    </row>
    <row r="31" ht="20" customHeight="1" s="39">
      <c r="A31" s="62" t="inlineStr">
        <is>
          <t>香蕉</t>
        </is>
      </c>
      <c r="B31" s="60" t="n">
        <v>5</v>
      </c>
      <c r="C31" s="63" t="inlineStr">
        <is>
          <t>富含鉀離子、水溶性膳食纖維，助消化</t>
        </is>
      </c>
    </row>
    <row r="32" ht="20" customHeight="1" s="39">
      <c r="A32" s="62" t="inlineStr">
        <is>
          <t>芭樂</t>
        </is>
      </c>
      <c r="B32" s="60" t="n">
        <v>4</v>
      </c>
      <c r="C32" s="63" t="inlineStr">
        <is>
          <t>超高維生素C抗氧化，低GI水果首選</t>
        </is>
      </c>
    </row>
    <row r="33" ht="20" customHeight="1" s="39">
      <c r="A33" s="62" t="inlineStr">
        <is>
          <t>奇異果</t>
        </is>
      </c>
      <c r="B33" s="60" t="n">
        <v>3</v>
      </c>
      <c r="C33" s="63" t="inlineStr">
        <is>
          <t>奇異果酵素、高維生素C與葉酸</t>
        </is>
      </c>
    </row>
    <row r="34" ht="20" customHeight="1" s="39">
      <c r="A34" s="62" t="inlineStr">
        <is>
          <t>鳳梨</t>
        </is>
      </c>
      <c r="B34" s="60" t="n">
        <v>3</v>
      </c>
      <c r="C34" s="63" t="inlineStr">
        <is>
          <t>鳳梨酵素助蛋白質分解與胃腸消化</t>
        </is>
      </c>
    </row>
    <row r="35" ht="20" customHeight="1" s="39">
      <c r="A35" s="62" t="inlineStr">
        <is>
          <t>西瓜</t>
        </is>
      </c>
      <c r="B35" s="60" t="n">
        <v>2</v>
      </c>
      <c r="C35" s="63" t="inlineStr">
        <is>
          <t>清涼消暑、水分充沛、含茄紅素</t>
        </is>
      </c>
    </row>
    <row r="36" ht="20" customHeight="1" s="39">
      <c r="A36" s="62" t="inlineStr">
        <is>
          <t>葡萄</t>
        </is>
      </c>
      <c r="B36" s="60" t="n">
        <v>2</v>
      </c>
      <c r="C36" s="63" t="inlineStr">
        <is>
          <t>富含多酚、花青素與天然葡萄糖</t>
        </is>
      </c>
    </row>
    <row r="37" ht="20" customHeight="1" s="39">
      <c r="A37" s="62" t="inlineStr">
        <is>
          <t>蘋果</t>
        </is>
      </c>
      <c r="B37" s="60" t="n">
        <v>1</v>
      </c>
      <c r="C37" s="63" t="inlineStr">
        <is>
          <t>豐富果膠與槲皮素，溫和養胃</t>
        </is>
      </c>
    </row>
    <row r="38" ht="20" customHeight="1" s="39">
      <c r="A38" s="62" t="inlineStr">
        <is>
          <t>火龍果</t>
        </is>
      </c>
      <c r="B38" s="60" t="n">
        <v>1</v>
      </c>
      <c r="C38" s="63" t="inlineStr">
        <is>
          <t>高甜菜紅素與水溶性纖維促進排便</t>
        </is>
      </c>
    </row>
    <row r="39" ht="22" customHeight="1" s="39">
      <c r="A39" s="57" t="inlineStr">
        <is>
          <t>合計提供天數</t>
        </is>
      </c>
      <c r="B39" s="58">
        <f>SUM(B31:B38)</f>
        <v/>
      </c>
      <c r="C39" s="57" t="inlineStr">
        <is>
          <t>每日均提供 1 份新鮮水果</t>
        </is>
      </c>
    </row>
    <row r="41" ht="15" customHeight="1" s="39">
      <c r="A41" s="61" t="inlineStr">
        <is>
          <t>幼兒園早午點心型態分佈</t>
        </is>
      </c>
    </row>
    <row r="42" ht="20" customHeight="1" s="39">
      <c r="A42" s="55" t="inlineStr">
        <is>
          <t>晨間鮮奶供應天數</t>
        </is>
      </c>
      <c r="B42" s="60" t="n">
        <v>8</v>
      </c>
      <c r="C42" s="63" t="inlineStr">
        <is>
          <t>每週一、週四固定搭配鮮奶補鈣</t>
        </is>
      </c>
    </row>
    <row r="43" ht="20" customHeight="1" s="39">
      <c r="A43" s="55" t="inlineStr">
        <is>
          <t>午後熱鹹粥/熱鹹麵</t>
        </is>
      </c>
      <c r="B43" s="60" t="n">
        <v>6</v>
      </c>
      <c r="C43" s="63" t="inlineStr">
        <is>
          <t>香菇瘦肉粥、雞絲麵、排骨湯、銀魚滑蛋粥等</t>
        </is>
      </c>
    </row>
    <row r="44" ht="20" customHeight="1" s="39">
      <c r="A44" s="55" t="inlineStr">
        <is>
          <t>中西式烘焙與包點</t>
        </is>
      </c>
      <c r="B44" s="60" t="n">
        <v>10</v>
      </c>
      <c r="C44" s="63" t="inlineStr">
        <is>
          <t>包子、饅頭、吐司、起酥蛋糕、銅鑼燒等</t>
        </is>
      </c>
    </row>
    <row r="45" ht="20" customHeight="1" s="39">
      <c r="A45" s="55" t="inlineStr">
        <is>
          <t>健康特色飲品搭配</t>
        </is>
      </c>
      <c r="B45" s="60" t="n">
        <v>8</v>
      </c>
      <c r="C45" s="63" t="inlineStr">
        <is>
          <t>豆漿、黑豆漿、麥茶、糙米漿、優酪乳、柚子茶</t>
        </is>
      </c>
    </row>
    <row r="46" ht="20" customHeight="1" s="39">
      <c r="A46" s="55" t="inlineStr">
        <is>
          <t>特殊節慶與主題日</t>
        </is>
      </c>
      <c r="B46" s="60" t="n">
        <v>3</v>
      </c>
      <c r="C46" s="63" t="inlineStr">
        <is>
          <t>9/4蔬食日、9/7慶生會蛋糕、9/24中秋小月餅</t>
        </is>
      </c>
    </row>
  </sheetData>
  <mergeCells count="7">
    <mergeCell ref="A4:B4"/>
    <mergeCell ref="A20:B20"/>
    <mergeCell ref="A41:C41"/>
    <mergeCell ref="A2:I2"/>
    <mergeCell ref="A1:I1"/>
    <mergeCell ref="A12:C12"/>
    <mergeCell ref="A29:C29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zh-TW</dc:language>
  <dcterms:created xmlns:dcterms="http://purl.org/dc/terms/" xmlns:xsi="http://www.w3.org/2001/XMLSchema-instance" xsi:type="dcterms:W3CDTF">2026-09-15T14:28:38Z</dcterms:created>
  <dcterms:modified xmlns:dcterms="http://purl.org/dc/terms/" xmlns:xsi="http://www.w3.org/2001/XMLSchema-instance" xsi:type="dcterms:W3CDTF">2026-09-15T15:59:16Z</dcterms:modified>
  <cp:revision>1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</Properties>
</file>