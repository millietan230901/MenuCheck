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4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全日餐點總表" sheetId="1" state="visible" r:id="rId2"/>
    <sheet name="國小午餐明細" sheetId="2" state="visible" r:id="rId3"/>
    <sheet name="幼兒園早午點心" sheetId="3" state="visible" r:id="rId4"/>
    <sheet name="營養與食材分析" sheetId="4" state="visible" r:id="rId5"/>
  </sheets>
  <definedNames>
    <definedName function="false" hidden="true" localSheetId="2" name="_xlnm._FilterDatabase" vbProcedure="false">幼兒園早午點心!$A$4:$H$27</definedName>
    <definedName function="false" hidden="true" localSheetId="0" name="_xlnm._FilterDatabase" vbProcedure="false">全日餐點總表!$A$5:$L$28</definedName>
    <definedName function="false" hidden="true" localSheetId="1" name="_xlnm._FilterDatabase" vbProcedure="false">國小午餐明細!$A$4:$N$27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<sst xmlns="http://schemas.openxmlformats.org/spreadsheetml/2006/main" count="674" uniqueCount="276">
  <si>
    <t xml:space="preserve">臺北市大安區龍安國小暨附設幼兒園 115學年度9月份全日餐點一覽表</t>
  </si>
  <si>
    <t xml:space="preserve">統計期間：115年8月31日 至 115年9月30日 | 包含：幼兒園早點、當季水果、國小學生午餐、幼兒園午點</t>
  </si>
  <si>
    <t xml:space="preserve">☆精選餐</t>
  </si>
  <si>
    <t xml:space="preserve">★油炸</t>
  </si>
  <si>
    <t xml:space="preserve">◎調理品 </t>
  </si>
  <si>
    <t xml:space="preserve">日期資訊</t>
  </si>
  <si>
    <t xml:space="preserve">幼兒園晨間點心</t>
  </si>
  <si>
    <t xml:space="preserve">學校中央午餐 (統鮮美食供應)</t>
  </si>
  <si>
    <t xml:space="preserve">幼兒園午後點心</t>
  </si>
  <si>
    <t xml:space="preserve">備註說明</t>
  </si>
  <si>
    <t xml:space="preserve">日期</t>
  </si>
  <si>
    <t xml:space="preserve">星期</t>
  </si>
  <si>
    <t xml:space="preserve">早點品項</t>
  </si>
  <si>
    <t xml:space="preserve">午餐主食</t>
  </si>
  <si>
    <t xml:space="preserve">午餐主菜</t>
  </si>
  <si>
    <t xml:space="preserve">午餐副菜</t>
  </si>
  <si>
    <t xml:space="preserve">時蔬(80g)</t>
  </si>
  <si>
    <t xml:space="preserve">午餐湯品</t>
  </si>
  <si>
    <t xml:space="preserve">熱量(kcal)</t>
  </si>
  <si>
    <t xml:space="preserve">午餐水果</t>
  </si>
  <si>
    <t xml:space="preserve">午點品項</t>
  </si>
  <si>
    <t xml:space="preserve">特餐 / 飲食提醒</t>
  </si>
  <si>
    <t xml:space="preserve">8/31</t>
  </si>
  <si>
    <t xml:space="preserve">一</t>
  </si>
  <si>
    <t xml:space="preserve">蜂蜜麥片 + 鮮奶</t>
  </si>
  <si>
    <t xml:space="preserve">糙米飯</t>
  </si>
  <si>
    <t xml:space="preserve">沙嗲燒肉</t>
  </si>
  <si>
    <t xml:space="preserve">雞肉筑前煮</t>
  </si>
  <si>
    <t xml:space="preserve">有機空心菜</t>
  </si>
  <si>
    <t xml:space="preserve">鮮筍雞湯</t>
  </si>
  <si>
    <t xml:space="preserve">香蕉</t>
  </si>
  <si>
    <t xml:space="preserve">香菇瘦肉粥</t>
  </si>
  <si>
    <t xml:space="preserve">9/1</t>
  </si>
  <si>
    <t xml:space="preserve">二</t>
  </si>
  <si>
    <t xml:space="preserve">白菜蛋花湯餃</t>
  </si>
  <si>
    <t xml:space="preserve">胚芽飯</t>
  </si>
  <si>
    <t xml:space="preserve">茄汁雞丁</t>
  </si>
  <si>
    <t xml:space="preserve">香菇肉燥</t>
  </si>
  <si>
    <t xml:space="preserve">有機白莧菜</t>
  </si>
  <si>
    <t xml:space="preserve">羅宋湯</t>
  </si>
  <si>
    <t xml:space="preserve">西瓜</t>
  </si>
  <si>
    <t xml:space="preserve">豆沙包</t>
  </si>
  <si>
    <t xml:space="preserve">9/2</t>
  </si>
  <si>
    <t xml:space="preserve">三</t>
  </si>
  <si>
    <t xml:space="preserve">香菇貢丸細粉</t>
  </si>
  <si>
    <t xml:space="preserve">義式肉醬麵</t>
  </si>
  <si>
    <t xml:space="preserve">唐揚炸雞X3</t>
  </si>
  <si>
    <t xml:space="preserve">地瓜薯條X4</t>
  </si>
  <si>
    <t xml:space="preserve">青菜</t>
  </si>
  <si>
    <t xml:space="preserve">蔬菜蛋花湯</t>
  </si>
  <si>
    <t xml:space="preserve">奇異果</t>
  </si>
  <si>
    <t xml:space="preserve">麥茶 + 水煮蛋</t>
  </si>
  <si>
    <t xml:space="preserve">每週三有機蔬菜</t>
  </si>
  <si>
    <t xml:space="preserve">9/3</t>
  </si>
  <si>
    <t xml:space="preserve">四</t>
  </si>
  <si>
    <t xml:space="preserve">全麥饅頭 + 鮮奶</t>
  </si>
  <si>
    <t xml:space="preserve">燕麥飯</t>
  </si>
  <si>
    <t xml:space="preserve">筍干滷肉</t>
  </si>
  <si>
    <t xml:space="preserve">香烤翅腿X1</t>
  </si>
  <si>
    <t xml:space="preserve">有機黑葉白菜</t>
  </si>
  <si>
    <t xml:space="preserve">地瓜芋頭湯</t>
  </si>
  <si>
    <t xml:space="preserve">芭樂</t>
  </si>
  <si>
    <t xml:space="preserve">綠豆薏仁湯</t>
  </si>
  <si>
    <t xml:space="preserve">9/4</t>
  </si>
  <si>
    <t xml:space="preserve">五</t>
  </si>
  <si>
    <t xml:space="preserve">清粥小菜</t>
  </si>
  <si>
    <t xml:space="preserve">五穀飯</t>
  </si>
  <si>
    <t xml:space="preserve">糖醋里肌</t>
  </si>
  <si>
    <t xml:space="preserve">銀芽肉絲</t>
  </si>
  <si>
    <t xml:space="preserve">關東煮</t>
  </si>
  <si>
    <t xml:space="preserve">鳳梨</t>
  </si>
  <si>
    <t xml:space="preserve">紅豆麵包</t>
  </si>
  <si>
    <t xml:space="preserve">蔬食日</t>
  </si>
  <si>
    <t xml:space="preserve">9/7</t>
  </si>
  <si>
    <t xml:space="preserve">生日蛋糕 + 鮮奶</t>
  </si>
  <si>
    <t xml:space="preserve">洋釀翅腿X2</t>
  </si>
  <si>
    <t xml:space="preserve">回鍋肉片</t>
  </si>
  <si>
    <t xml:space="preserve">有機荷葉白菜</t>
  </si>
  <si>
    <t xml:space="preserve">肉骨茶湯</t>
  </si>
  <si>
    <t xml:space="preserve">地瓜湯</t>
  </si>
  <si>
    <t xml:space="preserve">慶生會</t>
  </si>
  <si>
    <t xml:space="preserve">9/8</t>
  </si>
  <si>
    <t xml:space="preserve">肉包</t>
  </si>
  <si>
    <t xml:space="preserve">金喜肉排</t>
  </si>
  <si>
    <t xml:space="preserve">干片肉絲</t>
  </si>
  <si>
    <t xml:space="preserve">有機小松菜</t>
  </si>
  <si>
    <t xml:space="preserve">玉米濃湯</t>
  </si>
  <si>
    <t xml:space="preserve">葡萄</t>
  </si>
  <si>
    <t xml:space="preserve">肉燥麵</t>
  </si>
  <si>
    <t xml:space="preserve">9/9</t>
  </si>
  <si>
    <t xml:space="preserve">芝麻包</t>
  </si>
  <si>
    <t xml:space="preserve">白飯</t>
  </si>
  <si>
    <t xml:space="preserve">避風塘燒雞</t>
  </si>
  <si>
    <t xml:space="preserve">碎瓜仔肉</t>
  </si>
  <si>
    <t xml:space="preserve">竹筍排骨湯</t>
  </si>
  <si>
    <t xml:space="preserve">火龍果</t>
  </si>
  <si>
    <t xml:space="preserve">蘿蔔糕湯</t>
  </si>
  <si>
    <t xml:space="preserve">9/10</t>
  </si>
  <si>
    <t xml:space="preserve">銅鑼燒 + 鮮奶</t>
  </si>
  <si>
    <t xml:space="preserve">海苔香鬆飯</t>
  </si>
  <si>
    <t xml:space="preserve">醬爆肉絲</t>
  </si>
  <si>
    <t xml:space="preserve">柴魚蒸蛋</t>
  </si>
  <si>
    <t xml:space="preserve">柴魚味噌湯</t>
  </si>
  <si>
    <t xml:space="preserve">檸檬愛玉</t>
  </si>
  <si>
    <t xml:space="preserve">9/11</t>
  </si>
  <si>
    <t xml:space="preserve">雞茸南瓜粥</t>
  </si>
  <si>
    <t xml:space="preserve">紅藜飯</t>
  </si>
  <si>
    <t xml:space="preserve">蘿蔔燉肉</t>
  </si>
  <si>
    <t xml:space="preserve">玉米雞蓉</t>
  </si>
  <si>
    <t xml:space="preserve">南瓜濃湯</t>
  </si>
  <si>
    <t xml:space="preserve">蘋果</t>
  </si>
  <si>
    <t xml:space="preserve">優格</t>
  </si>
  <si>
    <t xml:space="preserve">9/14</t>
  </si>
  <si>
    <t xml:space="preserve">什錦果麥 + 鮮奶</t>
  </si>
  <si>
    <t xml:space="preserve">酢醬麵</t>
  </si>
  <si>
    <t xml:space="preserve">洋蔥豬排X1</t>
  </si>
  <si>
    <t xml:space="preserve">洋芋雞丁</t>
  </si>
  <si>
    <t xml:space="preserve">有機小白菜</t>
  </si>
  <si>
    <t xml:space="preserve">冬瓜排骨湯</t>
  </si>
  <si>
    <t xml:space="preserve">蛋花雞絲麵</t>
  </si>
  <si>
    <t xml:space="preserve">9/15</t>
  </si>
  <si>
    <t xml:space="preserve">起酥蛋糕</t>
  </si>
  <si>
    <t xml:space="preserve">佛蒙特咖哩</t>
  </si>
  <si>
    <t xml:space="preserve">京醬甜不辣</t>
  </si>
  <si>
    <t xml:space="preserve">帶芽蛋花湯</t>
  </si>
  <si>
    <t xml:space="preserve">味噌魚片粥</t>
  </si>
  <si>
    <t xml:space="preserve">9/16</t>
  </si>
  <si>
    <t xml:space="preserve">雜糧饅頭 + 鮮奶</t>
  </si>
  <si>
    <t xml:space="preserve">醬燒雞塊</t>
  </si>
  <si>
    <t xml:space="preserve">鮮筍肉絲</t>
  </si>
  <si>
    <t xml:space="preserve">有機味美菜</t>
  </si>
  <si>
    <t xml:space="preserve">酸辣湯</t>
  </si>
  <si>
    <t xml:space="preserve">山藥排骨湯</t>
  </si>
  <si>
    <t xml:space="preserve">9/17</t>
  </si>
  <si>
    <t xml:space="preserve">鮮蔥麵包</t>
  </si>
  <si>
    <t xml:space="preserve">奶油雞丁</t>
  </si>
  <si>
    <t xml:space="preserve">蘿蔔湯</t>
  </si>
  <si>
    <t xml:space="preserve">魚片豆腐味噌湯</t>
  </si>
  <si>
    <t xml:space="preserve">9/18</t>
  </si>
  <si>
    <t xml:space="preserve">翡翠鹹粥</t>
  </si>
  <si>
    <t xml:space="preserve">腰果雞丁</t>
  </si>
  <si>
    <t xml:space="preserve">洋蔥炒蛋</t>
  </si>
  <si>
    <t xml:space="preserve">有機木耳白莧菜</t>
  </si>
  <si>
    <t xml:space="preserve">白菜肉絲湯</t>
  </si>
  <si>
    <t xml:space="preserve">布丁</t>
  </si>
  <si>
    <t xml:space="preserve">9/21</t>
  </si>
  <si>
    <t xml:space="preserve">水果麥片 + 鮮奶</t>
  </si>
  <si>
    <t xml:space="preserve">地瓜飯</t>
  </si>
  <si>
    <t xml:space="preserve">西式燉肉</t>
  </si>
  <si>
    <t xml:space="preserve">海苔豆腐</t>
  </si>
  <si>
    <t xml:space="preserve">香菇雞湯</t>
  </si>
  <si>
    <t xml:space="preserve">水煮玉米</t>
  </si>
  <si>
    <t xml:space="preserve">9/22</t>
  </si>
  <si>
    <t xml:space="preserve">地瓜麵包</t>
  </si>
  <si>
    <t xml:space="preserve">嫩雞親子丼</t>
  </si>
  <si>
    <t xml:space="preserve">吐魠魚條</t>
  </si>
  <si>
    <t xml:space="preserve">綠豆麥片湯</t>
  </si>
  <si>
    <t xml:space="preserve">絲瓜麵線</t>
  </si>
  <si>
    <t xml:space="preserve">9/23</t>
  </si>
  <si>
    <t xml:space="preserve">果醬吐司</t>
  </si>
  <si>
    <t xml:space="preserve">香菇油飯</t>
  </si>
  <si>
    <t xml:space="preserve">豆干燒雞</t>
  </si>
  <si>
    <t xml:space="preserve">蛋酥白菜</t>
  </si>
  <si>
    <t xml:space="preserve">蘑菇濃湯</t>
  </si>
  <si>
    <t xml:space="preserve">青菜餛飩湯</t>
  </si>
  <si>
    <t xml:space="preserve">9/24</t>
  </si>
  <si>
    <t xml:space="preserve">菠菜銀魚滑蛋粥</t>
  </si>
  <si>
    <t xml:space="preserve">三杯雞</t>
  </si>
  <si>
    <t xml:space="preserve">番茄炒蛋</t>
  </si>
  <si>
    <t xml:space="preserve">小月餅 + 鮮奶</t>
  </si>
  <si>
    <t xml:space="preserve">9/25</t>
  </si>
  <si>
    <t xml:space="preserve">中秋節放假</t>
  </si>
  <si>
    <t xml:space="preserve">9/28</t>
  </si>
  <si>
    <t xml:space="preserve">教師節放假</t>
  </si>
  <si>
    <t xml:space="preserve">9/29</t>
  </si>
  <si>
    <t xml:space="preserve">營養麥片 + 鮮奶</t>
  </si>
  <si>
    <t xml:space="preserve">蘿蔔燒肉</t>
  </si>
  <si>
    <t xml:space="preserve">肉燥滷蛋</t>
  </si>
  <si>
    <t xml:space="preserve">味噌蛋花湯</t>
  </si>
  <si>
    <t xml:space="preserve">蓮藕排骨湯</t>
  </si>
  <si>
    <t xml:space="preserve">9/30</t>
  </si>
  <si>
    <t xml:space="preserve">養生饅頭 + 豆漿</t>
  </si>
  <si>
    <t xml:space="preserve">芝麻飯</t>
  </si>
  <si>
    <t xml:space="preserve">糖醋魚丁</t>
  </si>
  <si>
    <t xml:space="preserve">玉米排骨湯</t>
  </si>
  <si>
    <t xml:space="preserve">高麗蘿蔔豆腐湯</t>
  </si>
  <si>
    <t xml:space="preserve">統鮮美食 115年08+09月菜單 — 臺北市大安區龍安國小</t>
  </si>
  <si>
    <t xml:space="preserve">全校全面使用【非基因改造】玉米及黃豆製品、無輻射污染食品 | 本園一律採用國內在地豬、雞肉 | 每日皆附 80g 有機或產銷履歷蔬菜</t>
  </si>
  <si>
    <t xml:space="preserve">餐點類別</t>
  </si>
  <si>
    <t xml:space="preserve">主食名稱</t>
  </si>
  <si>
    <t xml:space="preserve">主菜名稱</t>
  </si>
  <si>
    <t xml:space="preserve">主菜肉品</t>
  </si>
  <si>
    <t xml:space="preserve">副菜名稱</t>
  </si>
  <si>
    <t xml:space="preserve">副菜屬性</t>
  </si>
  <si>
    <t xml:space="preserve">時令青菜</t>
  </si>
  <si>
    <t xml:space="preserve">蔬菜認證標準</t>
  </si>
  <si>
    <t xml:space="preserve">附附湯品</t>
  </si>
  <si>
    <t xml:space="preserve">湯品屬性</t>
  </si>
  <si>
    <t xml:space="preserve">烹調與特餐標記</t>
  </si>
  <si>
    <t xml:space="preserve">一般</t>
  </si>
  <si>
    <t xml:space="preserve">放假</t>
  </si>
  <si>
    <t xml:space="preserve">臺北市大安區龍安國小附設幼兒園 115學年度9月份餐點表 (早點・水果・午點)</t>
  </si>
  <si>
    <t xml:space="preserve">備註：1. 每個月的第一個星期五為蔬食日 | 2. 每週三提供有機蔬菜 | 3. 本園一律採用國內在地豬、牛、雞肉 | 4. 注意易過敏食物</t>
  </si>
  <si>
    <t xml:space="preserve">早點主食品項</t>
  </si>
  <si>
    <t xml:space="preserve">早點飲品/配餐</t>
  </si>
  <si>
    <t xml:space="preserve">當季新鮮水果</t>
  </si>
  <si>
    <t xml:space="preserve">午點主食品項</t>
  </si>
  <si>
    <t xml:space="preserve">午點飲品/配餐</t>
  </si>
  <si>
    <t xml:space="preserve">活動與飲食備註</t>
  </si>
  <si>
    <t xml:space="preserve">蜂蜜麥片</t>
  </si>
  <si>
    <t xml:space="preserve">鮮奶</t>
  </si>
  <si>
    <t xml:space="preserve">-</t>
  </si>
  <si>
    <t xml:space="preserve">麥茶</t>
  </si>
  <si>
    <t xml:space="preserve">水煮蛋</t>
  </si>
  <si>
    <t xml:space="preserve">全麥饅頭</t>
  </si>
  <si>
    <t xml:space="preserve">生日蛋糕</t>
  </si>
  <si>
    <t xml:space="preserve">銅鑼燒</t>
  </si>
  <si>
    <t xml:space="preserve">什錦果麥</t>
  </si>
  <si>
    <t xml:space="preserve">雜糧饅頭</t>
  </si>
  <si>
    <t xml:space="preserve">水果麥片</t>
  </si>
  <si>
    <t xml:space="preserve">小月餅</t>
  </si>
  <si>
    <t xml:space="preserve">營養麥片</t>
  </si>
  <si>
    <t xml:space="preserve">養生饅頭</t>
  </si>
  <si>
    <t xml:space="preserve">豆漿</t>
  </si>
  <si>
    <t xml:space="preserve">龍安國小暨附設幼兒園 115學年度9月份餐飲大數據與營養分析</t>
  </si>
  <si>
    <t xml:space="preserve">本分析整合天仁美食午餐菜單與幼兒園三餐點心數據，評估熱量平衡、三大營養來源、全穀根莖比例與飲食多樣性。</t>
  </si>
  <si>
    <t xml:space="preserve">午餐熱量關鍵統計 (Kcal)</t>
  </si>
  <si>
    <t xml:space="preserve">供餐總日數</t>
  </si>
  <si>
    <t xml:space="preserve">平均每餐熱量</t>
  </si>
  <si>
    <t xml:space="preserve">熱量中位數</t>
  </si>
  <si>
    <t xml:space="preserve">最高熱量 (8/31)</t>
  </si>
  <si>
    <t xml:space="preserve">最低熱量 (9/9)</t>
  </si>
  <si>
    <t xml:space="preserve">熱量標準建議範圍</t>
  </si>
  <si>
    <t xml:space="preserve">600 - 750</t>
  </si>
  <si>
    <t xml:space="preserve">午餐主菜肉品蛋白質來源分佈</t>
  </si>
  <si>
    <t xml:space="preserve">肉品類別</t>
  </si>
  <si>
    <t xml:space="preserve">供應次數</t>
  </si>
  <si>
    <t xml:space="preserve">佔比</t>
  </si>
  <si>
    <t xml:space="preserve">雞肉料理</t>
  </si>
  <si>
    <t xml:space="preserve">豬肉料理</t>
  </si>
  <si>
    <t xml:space="preserve">魚肉海鮮</t>
  </si>
  <si>
    <t xml:space="preserve">合計供餐日</t>
  </si>
  <si>
    <t xml:space="preserve">午餐食材特性與烹調型態分析</t>
  </si>
  <si>
    <t xml:space="preserve">生鮮食材主菜日數</t>
  </si>
  <si>
    <t xml:space="preserve">加工調理品主菜日數</t>
  </si>
  <si>
    <t xml:space="preserve">主/副菜油炸品提供次數</t>
  </si>
  <si>
    <t xml:space="preserve">主廚精選餐日數</t>
  </si>
  <si>
    <t xml:space="preserve">特色主食特餐日數</t>
  </si>
  <si>
    <t xml:space="preserve">甜湯供應天數</t>
  </si>
  <si>
    <t xml:space="preserve">有機認證蔬菜日數 (80g)</t>
  </si>
  <si>
    <t xml:space="preserve">產銷履歷蔬菜日數 (80g)</t>
  </si>
  <si>
    <t xml:space="preserve">幼兒園當季水果提供次數統計</t>
  </si>
  <si>
    <t xml:space="preserve">水果名稱</t>
  </si>
  <si>
    <t xml:space="preserve">提供天數</t>
  </si>
  <si>
    <t xml:space="preserve">營養亮點</t>
  </si>
  <si>
    <t xml:space="preserve">富含鉀離子、水溶性膳食纖維，助消化</t>
  </si>
  <si>
    <t xml:space="preserve">超高維生素C抗氧化，低GI水果首選</t>
  </si>
  <si>
    <t xml:space="preserve">奇異果酵素、高維生素C與葉酸</t>
  </si>
  <si>
    <t xml:space="preserve">鳳梨酵素助蛋白質分解與胃腸消化</t>
  </si>
  <si>
    <t xml:space="preserve">清涼消暑、水分充沛、含茄紅素</t>
  </si>
  <si>
    <t xml:space="preserve">富含多酚、花青素與天然葡萄糖</t>
  </si>
  <si>
    <t xml:space="preserve">豐富果膠與槲皮素，溫和養胃</t>
  </si>
  <si>
    <t xml:space="preserve">高甜菜紅素與水溶性纖維促進排便</t>
  </si>
  <si>
    <t xml:space="preserve">合計提供天數</t>
  </si>
  <si>
    <t xml:space="preserve">每日均提供 1 份新鮮水果</t>
  </si>
  <si>
    <t xml:space="preserve">幼兒園早午點心型態分佈</t>
  </si>
  <si>
    <t xml:space="preserve">晨間鮮奶供應天數</t>
  </si>
  <si>
    <t xml:space="preserve">每週一、週四固定搭配鮮奶補鈣</t>
  </si>
  <si>
    <t xml:space="preserve">午後熱鹹粥/熱鹹麵</t>
  </si>
  <si>
    <t xml:space="preserve">香菇瘦肉粥、雞絲麵、排骨湯、銀魚滑蛋粥等</t>
  </si>
  <si>
    <t xml:space="preserve">中西式烘焙與包點</t>
  </si>
  <si>
    <t xml:space="preserve">包子、饅頭、吐司、起酥蛋糕、銅鑼燒等</t>
  </si>
  <si>
    <t xml:space="preserve">健康特色飲品搭配</t>
  </si>
  <si>
    <t xml:space="preserve">豆漿、黑豆漿、麥茶、糙米漿、優酪乳、柚子茶</t>
  </si>
  <si>
    <t xml:space="preserve">特殊節慶與主題日</t>
  </si>
  <si>
    <t xml:space="preserve">9/4蔬食日、9/7慶生會蛋糕、9/24中秋小月餅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</si>
</sst>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General"/>
    <numFmt numFmtId="168" formatCode="0.00%"/>
  </numFmts>
  <fonts count="17">
    <font>
      <sz val="11"/>
      <color rgb="FF00000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5"/>
      <color rgb="FF1E3D2F"/>
      <name val="Microsoft JhengHei"/>
      <family val="0"/>
      <charset val="1"/>
    </font>
    <font>
      <i val="true"/>
      <sz val="9"/>
      <color rgb="FF555555"/>
      <name val="Microsoft JhengHei"/>
      <family val="0"/>
      <charset val="1"/>
    </font>
    <font>
      <b val="true"/>
      <sz val="9"/>
      <color rgb="FFB85D19"/>
      <name val="Microsoft JhengHei"/>
      <family val="0"/>
      <charset val="136"/>
    </font>
    <font>
      <sz val="9.5"/>
      <color rgb="FF222222"/>
      <name val="Microsoft JhengHei"/>
      <family val="0"/>
      <charset val="1"/>
    </font>
    <font>
      <sz val="9.5"/>
      <color rgb="FF222222"/>
      <name val="Microsoft JhengHei"/>
      <family val="0"/>
      <charset val="136"/>
    </font>
    <font>
      <b val="true"/>
      <sz val="10"/>
      <color rgb="FFFFFFFF"/>
      <name val="Microsoft JhengHei"/>
      <family val="0"/>
      <charset val="1"/>
    </font>
    <font>
      <b val="true"/>
      <sz val="9"/>
      <color rgb="FFFFFFFF"/>
      <name val="Microsoft JhengHei"/>
      <family val="0"/>
      <charset val="1"/>
    </font>
    <font>
      <b val="true"/>
      <sz val="9.5"/>
      <color rgb="FF222222"/>
      <name val="Microsoft JhengHei"/>
      <family val="0"/>
      <charset val="1"/>
    </font>
    <font>
      <b val="true"/>
      <sz val="12"/>
      <color rgb="FF1E4D2B"/>
      <name val="Microsoft JhengHei"/>
      <family val="0"/>
      <charset val="1"/>
    </font>
    <font>
      <i val="true"/>
      <sz val="10"/>
      <color rgb="FF777777"/>
      <name val="Microsoft JhengHei"/>
      <family val="0"/>
      <charset val="1"/>
    </font>
    <font>
      <sz val="10"/>
      <color rgb="FF000000"/>
      <name val="微軟正黑體"/>
      <family val="2"/>
    </font>
    <font>
      <b val="true"/>
      <sz val="10"/>
      <color rgb="FF000000"/>
      <name val="微軟正黑體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D5A43"/>
        <bgColor rgb="FF1E4D2B"/>
      </patternFill>
    </fill>
    <fill>
      <patternFill patternType="solid">
        <fgColor rgb="FF4A7C59"/>
        <bgColor rgb="FF777777"/>
      </patternFill>
    </fill>
    <fill>
      <patternFill patternType="solid">
        <fgColor rgb="FF8C5B3E"/>
        <bgColor rgb="FFAB4744"/>
      </patternFill>
    </fill>
    <fill>
      <patternFill patternType="solid">
        <fgColor rgb="FFEAF2E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1"/>
      </left>
      <right style="thin">
        <color rgb="FFD0D7D1"/>
      </right>
      <top style="thin">
        <color rgb="FFD0D7D1"/>
      </top>
      <bottom style="thin">
        <color rgb="FFD0D7D1"/>
      </bottom>
      <diagonal/>
    </border>
    <border diagonalUp="false" diagonalDown="false">
      <left style="thin">
        <color rgb="FFD0D7D1"/>
      </left>
      <right style="thin">
        <color rgb="FFD0D7D1"/>
      </right>
      <top style="thin">
        <color rgb="FFD0D7D1"/>
      </top>
      <bottom style="double">
        <color rgb="FF2D5A4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5B3E"/>
      <rgbColor rgb="FF800080"/>
      <rgbColor rgb="FF4A7C59"/>
      <rgbColor rgb="FFC0C0C0"/>
      <rgbColor rgb="FF878787"/>
      <rgbColor rgb="FF93A9CE"/>
      <rgbColor rgb="FFAB4744"/>
      <rgbColor rgb="FFF9F9F9"/>
      <rgbColor rgb="FFEAF2EC"/>
      <rgbColor rgb="FF660066"/>
      <rgbColor rgb="FFDC853E"/>
      <rgbColor rgb="FF0066CC"/>
      <rgbColor rgb="FFD0D7D1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D09493"/>
      <rgbColor rgb="FF777777"/>
      <rgbColor rgb="FFFFCC99"/>
      <rgbColor rgb="FF4672A8"/>
      <rgbColor rgb="FF33CCCC"/>
      <rgbColor rgb="FF9BBB59"/>
      <rgbColor rgb="FFFFCC00"/>
      <rgbColor rgb="FFFF9900"/>
      <rgbColor rgb="FFFF6600"/>
      <rgbColor rgb="FF725990"/>
      <rgbColor rgb="FF8AA64F"/>
      <rgbColor rgb="FF2D5A43"/>
      <rgbColor rgb="FF4299B0"/>
      <rgbColor rgb="FF1E4D2B"/>
      <rgbColor rgb="FF222222"/>
      <rgbColor rgb="FFB85D19"/>
      <rgbColor rgb="FFC0504D"/>
      <rgbColor rgb="FF555555"/>
      <rgbColor rgb="FF1E3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pieChart>
        <c:varyColors val="1"/>
        <c:ser>
          <c:idx val="0"/>
          <c:order val="0"/>
          <c:tx>
            <c:strRef>
              <c:f>營養與食材分析!B13</c:f>
              <c:strCache>
                <c:ptCount val="1"/>
                <c:pt idx="0">
                  <c:v>供應次數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>
                <a:noFill/>
              </a:ln>
            </c:spPr>
          </c:dPt>
          <c:dPt>
            <c:idx val="1"/>
            <c:spPr>
              <a:solidFill>
                <a:srgbClr val="c0504d"/>
              </a:solidFill>
              <a:ln>
                <a:noFill/>
              </a:ln>
            </c:spPr>
          </c:dPt>
          <c:dPt>
            <c:idx val="2"/>
            <c:spPr>
              <a:solidFill>
                <a:srgbClr val="9bbb59"/>
              </a:solidFill>
              <a:ln>
                <a:noFill/>
              </a:ln>
            </c:spPr>
          </c:dPt>
          <c:dLbls>
            <c:numFmt formatCode="General" sourceLinked="1"/>
            <c:dLbl>
              <c:idx val="0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營養與食材分析!$A$14:$A$16</c:f>
              <c:strCache>
                <c:ptCount val="3"/>
                <c:pt idx="0">
                  <c:v>雞肉料理</c:v>
                </c:pt>
                <c:pt idx="1">
                  <c:v>豬肉料理</c:v>
                </c:pt>
                <c:pt idx="2">
                  <c:v>魚肉海鮮</c:v>
                </c:pt>
              </c:strCache>
            </c:strRef>
          </c:cat>
          <c:val>
            <c:numRef>
              <c:f>營養與食材分析!$B$14:$B$16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1"/>
        <c:ser>
          <c:idx val="0"/>
          <c:order val="0"/>
          <c:tx>
            <c:strRef>
              <c:f>營養與食材分析!$B$29:$B$29</c:f>
              <c:strCache>
                <c:ptCount val="1"/>
                <c:pt idx="0">
                  <c:v>提供天數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營養與食材分析!$A$30:$A$37</c:f>
              <c:strCache>
                <c:ptCount val="8"/>
                <c:pt idx="0">
                  <c:v>香蕉</c:v>
                </c:pt>
                <c:pt idx="1">
                  <c:v>芭樂</c:v>
                </c:pt>
                <c:pt idx="2">
                  <c:v>奇異果</c:v>
                </c:pt>
                <c:pt idx="3">
                  <c:v>鳳梨</c:v>
                </c:pt>
                <c:pt idx="4">
                  <c:v>西瓜</c:v>
                </c:pt>
                <c:pt idx="5">
                  <c:v>葡萄</c:v>
                </c:pt>
                <c:pt idx="6">
                  <c:v>蘋果</c:v>
                </c:pt>
                <c:pt idx="7">
                  <c:v>火龍果</c:v>
                </c:pt>
              </c:strCache>
            </c:strRef>
          </c:cat>
          <c:val>
            <c:numRef>
              <c:f>營養與食材分析!$B$30:$B$37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29460439"/>
        <c:axId val="35013550"/>
      </c:barChart>
      <c:catAx>
        <c:axId val="29460439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水果品項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13550"/>
        <c:crosses val="autoZero"/>
        <c:auto val="1"/>
        <c:lblAlgn val="ctr"/>
        <c:lblOffset val="100"/>
      </c:catAx>
      <c:valAx>
        <c:axId val="35013550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天數 (次)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60439"/>
        <c:crosses val="autoZero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360</xdr:rowOff>
    </xdr:from>
    <xdr:to>
      <xdr:col>9</xdr:col>
      <xdr:colOff>819000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5786640" y="571680"/>
        <a:ext cx="576252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360</xdr:rowOff>
    </xdr:from>
    <xdr:to>
      <xdr:col>9</xdr:col>
      <xdr:colOff>819000</xdr:colOff>
      <xdr:row>32</xdr:row>
      <xdr:rowOff>64440</xdr:rowOff>
    </xdr:to>
    <xdr:graphicFrame>
      <xdr:nvGraphicFramePr>
        <xdr:cNvPr id="1" name="Chart 2"/>
        <xdr:cNvGraphicFramePr/>
      </xdr:nvGraphicFramePr>
      <xdr:xfrm>
        <a:off x="5786640" y="4280040"/>
        <a:ext cx="57625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K3" activeCellId="0" sqref="K3"/>
    </sheetView>
  </sheetViews>
  <sheetFormatPr defaultRowHeight="13.8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6.94"/>
    <col collapsed="false" customWidth="true" hidden="false" outlineLevel="0" max="4" min="3" style="1" width="20.81"/>
    <col collapsed="false" customWidth="true" hidden="false" outlineLevel="0" max="5" min="5" style="1" width="19.08"/>
    <col collapsed="false" customWidth="true" hidden="false" outlineLevel="0" max="6" min="6" style="1" width="15.61"/>
    <col collapsed="false" customWidth="true" hidden="false" outlineLevel="0" max="7" min="7" style="1" width="13.88"/>
    <col collapsed="false" customWidth="true" hidden="false" outlineLevel="0" max="8" min="8" style="1" width="15.61"/>
    <col collapsed="false" customWidth="true" hidden="false" outlineLevel="0" max="9" min="9" style="1" width="11.28"/>
    <col collapsed="false" customWidth="true" hidden="false" outlineLevel="0" max="10" min="10" style="1" width="10.4"/>
    <col collapsed="false" customWidth="true" hidden="false" outlineLevel="0" max="11" min="11" style="1" width="20.81"/>
    <col collapsed="false" customWidth="true" hidden="false" outlineLevel="0" max="12" min="12" style="1" width="26.02"/>
    <col collapsed="false" customWidth="true" hidden="false" outlineLevel="0" max="1025" min="13" style="1" width="7.52"/>
  </cols>
  <sheetData>
    <row r="1" customFormat="false" ht="21.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3.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4.25" hidden="false" customHeight="true" outlineLevel="0" collapsed="false">
      <c r="C3" s="4" t="s">
        <v>2</v>
      </c>
      <c r="D3" s="5" t="s">
        <v>3</v>
      </c>
      <c r="E3" s="6" t="s">
        <v>4</v>
      </c>
    </row>
    <row r="4" customFormat="false" ht="24" hidden="false" customHeight="true" outlineLevel="0" collapsed="false">
      <c r="A4" s="7" t="s">
        <v>5</v>
      </c>
      <c r="B4" s="7"/>
      <c r="C4" s="7" t="s">
        <v>6</v>
      </c>
      <c r="D4" s="7" t="s">
        <v>7</v>
      </c>
      <c r="E4" s="7"/>
      <c r="F4" s="7"/>
      <c r="G4" s="7"/>
      <c r="H4" s="7"/>
      <c r="I4" s="7"/>
      <c r="J4" s="7"/>
      <c r="K4" s="7" t="s">
        <v>8</v>
      </c>
      <c r="L4" s="7" t="s">
        <v>9</v>
      </c>
    </row>
    <row r="5" customFormat="false" ht="24" hidden="false" customHeight="true" outlineLevel="0" collapsed="false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  <c r="I5" s="8" t="s">
        <v>18</v>
      </c>
      <c r="J5" s="8" t="s">
        <v>19</v>
      </c>
      <c r="K5" s="8" t="s">
        <v>20</v>
      </c>
      <c r="L5" s="8" t="s">
        <v>21</v>
      </c>
    </row>
    <row r="6" customFormat="false" ht="22" hidden="false" customHeight="tru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n">
        <v>784</v>
      </c>
      <c r="J6" s="1" t="s">
        <v>30</v>
      </c>
      <c r="K6" s="1" t="s">
        <v>31</v>
      </c>
    </row>
    <row r="7" customFormat="false" ht="22" hidden="false" customHeight="true" outlineLevel="0" collapsed="false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n">
        <v>722</v>
      </c>
      <c r="J7" s="1" t="s">
        <v>40</v>
      </c>
      <c r="K7" s="1" t="s">
        <v>41</v>
      </c>
    </row>
    <row r="8" customFormat="false" ht="22" hidden="false" customHeight="true" outlineLevel="0" collapsed="false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n">
        <v>715</v>
      </c>
      <c r="J8" s="1" t="s">
        <v>50</v>
      </c>
      <c r="K8" s="1" t="s">
        <v>51</v>
      </c>
      <c r="L8" s="1" t="s">
        <v>52</v>
      </c>
    </row>
    <row r="9" customFormat="false" ht="22" hidden="false" customHeight="true" outlineLevel="0" collapsed="false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1" t="n">
        <v>731</v>
      </c>
      <c r="J9" s="1" t="s">
        <v>61</v>
      </c>
      <c r="K9" s="1" t="s">
        <v>62</v>
      </c>
    </row>
    <row r="10" customFormat="false" ht="22" hidden="false" customHeight="true" outlineLevel="0" collapsed="false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48</v>
      </c>
      <c r="H10" s="1" t="s">
        <v>69</v>
      </c>
      <c r="I10" s="1" t="n">
        <v>756</v>
      </c>
      <c r="J10" s="1" t="s">
        <v>70</v>
      </c>
      <c r="K10" s="1" t="s">
        <v>71</v>
      </c>
      <c r="L10" s="1" t="s">
        <v>72</v>
      </c>
    </row>
    <row r="11" customFormat="false" ht="22" hidden="false" customHeight="true" outlineLevel="0" collapsed="false">
      <c r="A11" s="1" t="s">
        <v>73</v>
      </c>
      <c r="B11" s="1" t="s">
        <v>23</v>
      </c>
      <c r="C11" s="1" t="s">
        <v>74</v>
      </c>
      <c r="D11" s="1" t="s">
        <v>35</v>
      </c>
      <c r="E11" s="1" t="s">
        <v>75</v>
      </c>
      <c r="F11" s="1" t="s">
        <v>76</v>
      </c>
      <c r="G11" s="1" t="s">
        <v>77</v>
      </c>
      <c r="H11" s="1" t="s">
        <v>78</v>
      </c>
      <c r="I11" s="1" t="n">
        <v>732.5</v>
      </c>
      <c r="J11" s="1" t="s">
        <v>30</v>
      </c>
      <c r="K11" s="1" t="s">
        <v>79</v>
      </c>
      <c r="L11" s="1" t="s">
        <v>80</v>
      </c>
    </row>
    <row r="12" customFormat="false" ht="22" hidden="false" customHeight="true" outlineLevel="0" collapsed="false">
      <c r="A12" s="1" t="s">
        <v>81</v>
      </c>
      <c r="B12" s="1" t="s">
        <v>33</v>
      </c>
      <c r="C12" s="1" t="s">
        <v>82</v>
      </c>
      <c r="D12" s="1" t="s">
        <v>25</v>
      </c>
      <c r="E12" s="1" t="s">
        <v>83</v>
      </c>
      <c r="F12" s="1" t="s">
        <v>84</v>
      </c>
      <c r="G12" s="1" t="s">
        <v>85</v>
      </c>
      <c r="H12" s="1" t="s">
        <v>86</v>
      </c>
      <c r="I12" s="1" t="n">
        <v>716</v>
      </c>
      <c r="J12" s="1" t="s">
        <v>87</v>
      </c>
      <c r="K12" s="1" t="s">
        <v>88</v>
      </c>
    </row>
    <row r="13" customFormat="false" ht="22" hidden="false" customHeight="true" outlineLevel="0" collapsed="false">
      <c r="A13" s="1" t="s">
        <v>89</v>
      </c>
      <c r="B13" s="1" t="s">
        <v>43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48</v>
      </c>
      <c r="H13" s="1" t="s">
        <v>94</v>
      </c>
      <c r="I13" s="1" t="n">
        <v>649</v>
      </c>
      <c r="J13" s="1" t="s">
        <v>95</v>
      </c>
      <c r="K13" s="1" t="s">
        <v>96</v>
      </c>
      <c r="L13" s="1" t="s">
        <v>52</v>
      </c>
    </row>
    <row r="14" customFormat="false" ht="22" hidden="false" customHeight="true" outlineLevel="0" collapsed="false">
      <c r="A14" s="1" t="s">
        <v>97</v>
      </c>
      <c r="B14" s="1" t="s">
        <v>54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28</v>
      </c>
      <c r="H14" s="1" t="s">
        <v>102</v>
      </c>
      <c r="I14" s="1" t="n">
        <v>681</v>
      </c>
      <c r="J14" s="1" t="s">
        <v>61</v>
      </c>
      <c r="K14" s="1" t="s">
        <v>103</v>
      </c>
    </row>
    <row r="15" customFormat="false" ht="22" hidden="false" customHeight="true" outlineLevel="0" collapsed="false">
      <c r="A15" s="1" t="s">
        <v>104</v>
      </c>
      <c r="B15" s="1" t="s">
        <v>64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48</v>
      </c>
      <c r="H15" s="1" t="s">
        <v>109</v>
      </c>
      <c r="I15" s="1" t="n">
        <v>700</v>
      </c>
      <c r="J15" s="1" t="s">
        <v>110</v>
      </c>
      <c r="K15" s="1" t="s">
        <v>111</v>
      </c>
    </row>
    <row r="16" customFormat="false" ht="22" hidden="false" customHeight="true" outlineLevel="0" collapsed="false">
      <c r="A16" s="1" t="s">
        <v>112</v>
      </c>
      <c r="B16" s="1" t="s">
        <v>23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117</v>
      </c>
      <c r="H16" s="1" t="s">
        <v>118</v>
      </c>
      <c r="I16" s="1" t="n">
        <v>673</v>
      </c>
      <c r="J16" s="1" t="s">
        <v>30</v>
      </c>
      <c r="K16" s="1" t="s">
        <v>119</v>
      </c>
    </row>
    <row r="17" customFormat="false" ht="22" hidden="false" customHeight="true" outlineLevel="0" collapsed="false">
      <c r="A17" s="1" t="s">
        <v>120</v>
      </c>
      <c r="B17" s="1" t="s">
        <v>33</v>
      </c>
      <c r="C17" s="1" t="s">
        <v>121</v>
      </c>
      <c r="D17" s="1" t="s">
        <v>35</v>
      </c>
      <c r="E17" s="1" t="s">
        <v>122</v>
      </c>
      <c r="F17" s="1" t="s">
        <v>123</v>
      </c>
      <c r="G17" s="1" t="s">
        <v>38</v>
      </c>
      <c r="H17" s="1" t="s">
        <v>124</v>
      </c>
      <c r="I17" s="1" t="n">
        <v>694</v>
      </c>
      <c r="J17" s="1" t="s">
        <v>40</v>
      </c>
      <c r="K17" s="1" t="s">
        <v>125</v>
      </c>
    </row>
    <row r="18" customFormat="false" ht="22" hidden="false" customHeight="true" outlineLevel="0" collapsed="false">
      <c r="A18" s="1" t="s">
        <v>126</v>
      </c>
      <c r="B18" s="1" t="s">
        <v>43</v>
      </c>
      <c r="C18" s="1" t="s">
        <v>127</v>
      </c>
      <c r="D18" s="1" t="s">
        <v>91</v>
      </c>
      <c r="E18" s="1" t="s">
        <v>128</v>
      </c>
      <c r="F18" s="1" t="s">
        <v>129</v>
      </c>
      <c r="G18" s="1" t="s">
        <v>130</v>
      </c>
      <c r="H18" s="1" t="s">
        <v>131</v>
      </c>
      <c r="I18" s="1" t="n">
        <v>687</v>
      </c>
      <c r="J18" s="1" t="s">
        <v>61</v>
      </c>
      <c r="K18" s="1" t="s">
        <v>132</v>
      </c>
      <c r="L18" s="1" t="s">
        <v>52</v>
      </c>
    </row>
    <row r="19" customFormat="false" ht="22" hidden="false" customHeight="true" outlineLevel="0" collapsed="false">
      <c r="A19" s="1" t="s">
        <v>133</v>
      </c>
      <c r="B19" s="1" t="s">
        <v>54</v>
      </c>
      <c r="C19" s="1" t="s">
        <v>134</v>
      </c>
      <c r="D19" s="1" t="s">
        <v>66</v>
      </c>
      <c r="E19" s="1" t="s">
        <v>135</v>
      </c>
      <c r="F19" s="1" t="s">
        <v>37</v>
      </c>
      <c r="G19" s="1" t="s">
        <v>48</v>
      </c>
      <c r="H19" s="1" t="s">
        <v>136</v>
      </c>
      <c r="I19" s="1" t="n">
        <v>667</v>
      </c>
      <c r="J19" s="1" t="s">
        <v>50</v>
      </c>
      <c r="K19" s="1" t="s">
        <v>137</v>
      </c>
    </row>
    <row r="20" customFormat="false" ht="22" hidden="false" customHeight="true" outlineLevel="0" collapsed="false">
      <c r="A20" s="1" t="s">
        <v>138</v>
      </c>
      <c r="B20" s="1" t="s">
        <v>64</v>
      </c>
      <c r="C20" s="1" t="s">
        <v>139</v>
      </c>
      <c r="D20" s="1" t="s">
        <v>25</v>
      </c>
      <c r="E20" s="1" t="s">
        <v>140</v>
      </c>
      <c r="F20" s="1" t="s">
        <v>141</v>
      </c>
      <c r="G20" s="1" t="s">
        <v>142</v>
      </c>
      <c r="H20" s="1" t="s">
        <v>143</v>
      </c>
      <c r="I20" s="1" t="n">
        <v>730</v>
      </c>
      <c r="J20" s="1" t="s">
        <v>70</v>
      </c>
      <c r="K20" s="1" t="s">
        <v>144</v>
      </c>
    </row>
    <row r="21" customFormat="false" ht="22" hidden="false" customHeight="true" outlineLevel="0" collapsed="false">
      <c r="A21" s="1" t="s">
        <v>145</v>
      </c>
      <c r="B21" s="1" t="s">
        <v>23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28</v>
      </c>
      <c r="H21" s="1" t="s">
        <v>150</v>
      </c>
      <c r="I21" s="1" t="n">
        <v>764</v>
      </c>
      <c r="J21" s="1" t="s">
        <v>30</v>
      </c>
      <c r="K21" s="1" t="s">
        <v>151</v>
      </c>
    </row>
    <row r="22" customFormat="false" ht="22" hidden="false" customHeight="true" outlineLevel="0" collapsed="false">
      <c r="A22" s="1" t="s">
        <v>152</v>
      </c>
      <c r="B22" s="1" t="s">
        <v>33</v>
      </c>
      <c r="C22" s="1" t="s">
        <v>153</v>
      </c>
      <c r="D22" s="1" t="s">
        <v>56</v>
      </c>
      <c r="E22" s="1" t="s">
        <v>154</v>
      </c>
      <c r="F22" s="1" t="s">
        <v>155</v>
      </c>
      <c r="G22" s="1" t="s">
        <v>48</v>
      </c>
      <c r="H22" s="1" t="s">
        <v>156</v>
      </c>
      <c r="I22" s="1" t="n">
        <v>700</v>
      </c>
      <c r="J22" s="1" t="s">
        <v>70</v>
      </c>
      <c r="K22" s="1" t="s">
        <v>157</v>
      </c>
    </row>
    <row r="23" customFormat="false" ht="22" hidden="false" customHeight="true" outlineLevel="0" collapsed="false">
      <c r="A23" s="1" t="s">
        <v>158</v>
      </c>
      <c r="B23" s="1" t="s">
        <v>43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59</v>
      </c>
      <c r="H23" s="1" t="s">
        <v>163</v>
      </c>
      <c r="I23" s="1" t="n">
        <v>727.5</v>
      </c>
      <c r="J23" s="1" t="s">
        <v>50</v>
      </c>
      <c r="K23" s="1" t="s">
        <v>164</v>
      </c>
      <c r="L23" s="1" t="s">
        <v>52</v>
      </c>
    </row>
    <row r="24" customFormat="false" ht="22" hidden="false" customHeight="true" outlineLevel="0" collapsed="false">
      <c r="A24" s="1" t="s">
        <v>165</v>
      </c>
      <c r="B24" s="1" t="s">
        <v>54</v>
      </c>
      <c r="C24" s="1" t="s">
        <v>166</v>
      </c>
      <c r="D24" s="1" t="s">
        <v>91</v>
      </c>
      <c r="E24" s="1" t="s">
        <v>167</v>
      </c>
      <c r="F24" s="1" t="s">
        <v>168</v>
      </c>
      <c r="G24" s="1" t="s">
        <v>38</v>
      </c>
      <c r="H24" s="1" t="s">
        <v>94</v>
      </c>
      <c r="I24" s="1" t="n">
        <v>687</v>
      </c>
      <c r="J24" s="1" t="s">
        <v>61</v>
      </c>
      <c r="K24" s="1" t="s">
        <v>169</v>
      </c>
    </row>
    <row r="25" customFormat="false" ht="22" hidden="false" customHeight="true" outlineLevel="0" collapsed="false">
      <c r="A25" s="1" t="s">
        <v>170</v>
      </c>
      <c r="B25" s="1" t="s">
        <v>64</v>
      </c>
      <c r="L25" s="1" t="s">
        <v>171</v>
      </c>
    </row>
    <row r="26" customFormat="false" ht="22" hidden="false" customHeight="true" outlineLevel="0" collapsed="false">
      <c r="A26" s="1" t="s">
        <v>172</v>
      </c>
      <c r="B26" s="1" t="s">
        <v>23</v>
      </c>
      <c r="L26" s="1" t="s">
        <v>173</v>
      </c>
    </row>
    <row r="27" customFormat="false" ht="22" hidden="false" customHeight="true" outlineLevel="0" collapsed="false">
      <c r="A27" s="1" t="s">
        <v>174</v>
      </c>
      <c r="B27" s="1" t="s">
        <v>33</v>
      </c>
      <c r="C27" s="1" t="s">
        <v>175</v>
      </c>
      <c r="D27" s="1" t="s">
        <v>66</v>
      </c>
      <c r="E27" s="1" t="s">
        <v>176</v>
      </c>
      <c r="F27" s="1" t="s">
        <v>177</v>
      </c>
      <c r="G27" s="1" t="s">
        <v>48</v>
      </c>
      <c r="H27" s="1" t="s">
        <v>178</v>
      </c>
      <c r="I27" s="1" t="n">
        <v>722</v>
      </c>
      <c r="J27" s="1" t="s">
        <v>30</v>
      </c>
      <c r="K27" s="1" t="s">
        <v>179</v>
      </c>
    </row>
    <row r="28" customFormat="false" ht="22" hidden="false" customHeight="true" outlineLevel="0" collapsed="false">
      <c r="A28" s="1" t="s">
        <v>180</v>
      </c>
      <c r="B28" s="1" t="s">
        <v>43</v>
      </c>
      <c r="C28" s="1" t="s">
        <v>181</v>
      </c>
      <c r="D28" s="1" t="s">
        <v>182</v>
      </c>
      <c r="E28" s="1" t="s">
        <v>183</v>
      </c>
      <c r="F28" s="1" t="s">
        <v>100</v>
      </c>
      <c r="G28" s="1" t="s">
        <v>48</v>
      </c>
      <c r="H28" s="1" t="s">
        <v>184</v>
      </c>
      <c r="I28" s="1" t="n">
        <v>730</v>
      </c>
      <c r="J28" s="1" t="s">
        <v>87</v>
      </c>
      <c r="K28" s="1" t="s">
        <v>185</v>
      </c>
      <c r="L28" s="1" t="s">
        <v>52</v>
      </c>
    </row>
  </sheetData>
  <autoFilter ref="A5:L28"/>
  <mergeCells count="4">
    <mergeCell ref="A1:L1"/>
    <mergeCell ref="A2:L2"/>
    <mergeCell ref="A4:B4"/>
    <mergeCell ref="D4:I4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6.94"/>
    <col collapsed="false" customWidth="true" hidden="false" outlineLevel="0" max="3" min="3" style="1" width="10.4"/>
    <col collapsed="false" customWidth="true" hidden="false" outlineLevel="0" max="4" min="4" style="1" width="20.81"/>
    <col collapsed="false" customWidth="true" hidden="false" outlineLevel="0" max="5" min="5" style="1" width="19.08"/>
    <col collapsed="false" customWidth="true" hidden="false" outlineLevel="0" max="6" min="6" style="1" width="12.15"/>
    <col collapsed="false" customWidth="true" hidden="false" outlineLevel="0" max="7" min="7" style="1" width="15.61"/>
    <col collapsed="false" customWidth="true" hidden="false" outlineLevel="0" max="9" min="8" style="1" width="13.88"/>
    <col collapsed="false" customWidth="true" hidden="false" outlineLevel="0" max="10" min="10" style="1" width="17.34"/>
    <col collapsed="false" customWidth="true" hidden="false" outlineLevel="0" max="11" min="11" style="1" width="15.61"/>
    <col collapsed="false" customWidth="true" hidden="false" outlineLevel="0" max="12" min="12" style="1" width="10.4"/>
    <col collapsed="false" customWidth="true" hidden="false" outlineLevel="0" max="13" min="13" style="1" width="11.28"/>
    <col collapsed="false" customWidth="true" hidden="false" outlineLevel="0" max="14" min="14" style="1" width="20.81"/>
    <col collapsed="false" customWidth="true" hidden="false" outlineLevel="0" max="1025" min="15" style="1" width="7.52"/>
  </cols>
  <sheetData>
    <row r="1" customFormat="false" ht="15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6" hidden="false" customHeight="true" outlineLevel="0" collapsed="false">
      <c r="A4" s="7" t="s">
        <v>10</v>
      </c>
      <c r="B4" s="7" t="s">
        <v>11</v>
      </c>
      <c r="C4" s="7" t="s">
        <v>188</v>
      </c>
      <c r="D4" s="7" t="s">
        <v>189</v>
      </c>
      <c r="E4" s="7" t="s">
        <v>190</v>
      </c>
      <c r="F4" s="7" t="s">
        <v>191</v>
      </c>
      <c r="G4" s="7" t="s">
        <v>192</v>
      </c>
      <c r="H4" s="7" t="s">
        <v>193</v>
      </c>
      <c r="I4" s="7" t="s">
        <v>194</v>
      </c>
      <c r="J4" s="7" t="s">
        <v>195</v>
      </c>
      <c r="K4" s="7" t="s">
        <v>196</v>
      </c>
      <c r="L4" s="7" t="s">
        <v>197</v>
      </c>
      <c r="M4" s="7" t="s">
        <v>18</v>
      </c>
      <c r="N4" s="7" t="s">
        <v>198</v>
      </c>
    </row>
    <row r="5" customFormat="false" ht="21" hidden="false" customHeight="true" outlineLevel="0" collapsed="false">
      <c r="A5" s="1" t="s">
        <v>22</v>
      </c>
      <c r="B5" s="1" t="s">
        <v>23</v>
      </c>
      <c r="C5" s="1" t="s">
        <v>199</v>
      </c>
      <c r="D5" s="1" t="s">
        <v>25</v>
      </c>
      <c r="E5" s="1" t="s">
        <v>26</v>
      </c>
      <c r="G5" s="1" t="s">
        <v>27</v>
      </c>
      <c r="I5" s="1" t="s">
        <v>28</v>
      </c>
      <c r="K5" s="1" t="s">
        <v>29</v>
      </c>
      <c r="M5" s="1" t="n">
        <v>784</v>
      </c>
    </row>
    <row r="6" customFormat="false" ht="21" hidden="false" customHeight="true" outlineLevel="0" collapsed="false">
      <c r="A6" s="1" t="s">
        <v>32</v>
      </c>
      <c r="B6" s="1" t="s">
        <v>33</v>
      </c>
      <c r="C6" s="1" t="s">
        <v>199</v>
      </c>
      <c r="D6" s="1" t="s">
        <v>35</v>
      </c>
      <c r="E6" s="1" t="s">
        <v>36</v>
      </c>
      <c r="G6" s="1" t="s">
        <v>37</v>
      </c>
      <c r="I6" s="1" t="s">
        <v>38</v>
      </c>
      <c r="K6" s="1" t="s">
        <v>39</v>
      </c>
      <c r="M6" s="1" t="n">
        <v>722</v>
      </c>
    </row>
    <row r="7" customFormat="false" ht="21" hidden="false" customHeight="true" outlineLevel="0" collapsed="false">
      <c r="A7" s="1" t="s">
        <v>42</v>
      </c>
      <c r="B7" s="1" t="s">
        <v>43</v>
      </c>
      <c r="C7" s="1" t="s">
        <v>199</v>
      </c>
      <c r="D7" s="1" t="s">
        <v>45</v>
      </c>
      <c r="E7" s="1" t="s">
        <v>46</v>
      </c>
      <c r="G7" s="1" t="s">
        <v>47</v>
      </c>
      <c r="I7" s="1" t="s">
        <v>48</v>
      </c>
      <c r="K7" s="1" t="s">
        <v>49</v>
      </c>
      <c r="M7" s="1" t="n">
        <v>715</v>
      </c>
      <c r="N7" s="1" t="s">
        <v>52</v>
      </c>
    </row>
    <row r="8" customFormat="false" ht="21" hidden="false" customHeight="true" outlineLevel="0" collapsed="false">
      <c r="A8" s="1" t="s">
        <v>53</v>
      </c>
      <c r="B8" s="1" t="s">
        <v>54</v>
      </c>
      <c r="C8" s="1" t="s">
        <v>199</v>
      </c>
      <c r="D8" s="1" t="s">
        <v>56</v>
      </c>
      <c r="E8" s="1" t="s">
        <v>57</v>
      </c>
      <c r="G8" s="1" t="s">
        <v>58</v>
      </c>
      <c r="I8" s="1" t="s">
        <v>59</v>
      </c>
      <c r="K8" s="1" t="s">
        <v>60</v>
      </c>
      <c r="M8" s="1" t="n">
        <v>731</v>
      </c>
    </row>
    <row r="9" customFormat="false" ht="21" hidden="false" customHeight="true" outlineLevel="0" collapsed="false">
      <c r="A9" s="1" t="s">
        <v>63</v>
      </c>
      <c r="B9" s="1" t="s">
        <v>64</v>
      </c>
      <c r="C9" s="1" t="s">
        <v>199</v>
      </c>
      <c r="D9" s="1" t="s">
        <v>66</v>
      </c>
      <c r="E9" s="1" t="s">
        <v>67</v>
      </c>
      <c r="G9" s="1" t="s">
        <v>68</v>
      </c>
      <c r="I9" s="1" t="s">
        <v>48</v>
      </c>
      <c r="K9" s="1" t="s">
        <v>69</v>
      </c>
      <c r="M9" s="1" t="n">
        <v>756</v>
      </c>
      <c r="N9" s="1" t="s">
        <v>72</v>
      </c>
    </row>
    <row r="10" customFormat="false" ht="21" hidden="false" customHeight="true" outlineLevel="0" collapsed="false">
      <c r="A10" s="1" t="s">
        <v>73</v>
      </c>
      <c r="B10" s="1" t="s">
        <v>23</v>
      </c>
      <c r="C10" s="1" t="s">
        <v>199</v>
      </c>
      <c r="D10" s="1" t="s">
        <v>35</v>
      </c>
      <c r="E10" s="1" t="s">
        <v>75</v>
      </c>
      <c r="G10" s="1" t="s">
        <v>76</v>
      </c>
      <c r="I10" s="1" t="s">
        <v>77</v>
      </c>
      <c r="K10" s="1" t="s">
        <v>78</v>
      </c>
      <c r="M10" s="1" t="n">
        <v>732.5</v>
      </c>
      <c r="N10" s="1" t="s">
        <v>80</v>
      </c>
    </row>
    <row r="11" customFormat="false" ht="21" hidden="false" customHeight="true" outlineLevel="0" collapsed="false">
      <c r="A11" s="1" t="s">
        <v>81</v>
      </c>
      <c r="B11" s="1" t="s">
        <v>33</v>
      </c>
      <c r="C11" s="1" t="s">
        <v>199</v>
      </c>
      <c r="D11" s="1" t="s">
        <v>25</v>
      </c>
      <c r="E11" s="1" t="s">
        <v>83</v>
      </c>
      <c r="G11" s="1" t="s">
        <v>84</v>
      </c>
      <c r="I11" s="1" t="s">
        <v>85</v>
      </c>
      <c r="K11" s="1" t="s">
        <v>86</v>
      </c>
      <c r="M11" s="1" t="n">
        <v>716</v>
      </c>
    </row>
    <row r="12" customFormat="false" ht="21" hidden="false" customHeight="true" outlineLevel="0" collapsed="false">
      <c r="A12" s="1" t="s">
        <v>89</v>
      </c>
      <c r="B12" s="1" t="s">
        <v>43</v>
      </c>
      <c r="C12" s="1" t="s">
        <v>199</v>
      </c>
      <c r="D12" s="1" t="s">
        <v>91</v>
      </c>
      <c r="E12" s="1" t="s">
        <v>92</v>
      </c>
      <c r="G12" s="1" t="s">
        <v>93</v>
      </c>
      <c r="I12" s="1" t="s">
        <v>48</v>
      </c>
      <c r="K12" s="1" t="s">
        <v>94</v>
      </c>
      <c r="M12" s="1" t="n">
        <v>649</v>
      </c>
      <c r="N12" s="1" t="s">
        <v>52</v>
      </c>
    </row>
    <row r="13" customFormat="false" ht="21" hidden="false" customHeight="true" outlineLevel="0" collapsed="false">
      <c r="A13" s="1" t="s">
        <v>97</v>
      </c>
      <c r="B13" s="1" t="s">
        <v>54</v>
      </c>
      <c r="C13" s="1" t="s">
        <v>199</v>
      </c>
      <c r="D13" s="1" t="s">
        <v>99</v>
      </c>
      <c r="E13" s="1" t="s">
        <v>100</v>
      </c>
      <c r="G13" s="1" t="s">
        <v>101</v>
      </c>
      <c r="I13" s="1" t="s">
        <v>28</v>
      </c>
      <c r="K13" s="1" t="s">
        <v>102</v>
      </c>
      <c r="M13" s="1" t="n">
        <v>681</v>
      </c>
    </row>
    <row r="14" customFormat="false" ht="21" hidden="false" customHeight="true" outlineLevel="0" collapsed="false">
      <c r="A14" s="1" t="s">
        <v>104</v>
      </c>
      <c r="B14" s="1" t="s">
        <v>64</v>
      </c>
      <c r="C14" s="1" t="s">
        <v>199</v>
      </c>
      <c r="D14" s="1" t="s">
        <v>106</v>
      </c>
      <c r="E14" s="1" t="s">
        <v>107</v>
      </c>
      <c r="G14" s="1" t="s">
        <v>108</v>
      </c>
      <c r="I14" s="1" t="s">
        <v>48</v>
      </c>
      <c r="K14" s="1" t="s">
        <v>109</v>
      </c>
      <c r="M14" s="1" t="n">
        <v>700</v>
      </c>
    </row>
    <row r="15" customFormat="false" ht="21" hidden="false" customHeight="true" outlineLevel="0" collapsed="false">
      <c r="A15" s="1" t="s">
        <v>112</v>
      </c>
      <c r="B15" s="1" t="s">
        <v>23</v>
      </c>
      <c r="C15" s="1" t="s">
        <v>199</v>
      </c>
      <c r="D15" s="1" t="s">
        <v>114</v>
      </c>
      <c r="E15" s="1" t="s">
        <v>115</v>
      </c>
      <c r="G15" s="1" t="s">
        <v>116</v>
      </c>
      <c r="I15" s="1" t="s">
        <v>117</v>
      </c>
      <c r="K15" s="1" t="s">
        <v>118</v>
      </c>
      <c r="M15" s="1" t="n">
        <v>673</v>
      </c>
    </row>
    <row r="16" customFormat="false" ht="21" hidden="false" customHeight="true" outlineLevel="0" collapsed="false">
      <c r="A16" s="1" t="s">
        <v>120</v>
      </c>
      <c r="B16" s="1" t="s">
        <v>33</v>
      </c>
      <c r="C16" s="1" t="s">
        <v>199</v>
      </c>
      <c r="D16" s="1" t="s">
        <v>35</v>
      </c>
      <c r="E16" s="1" t="s">
        <v>122</v>
      </c>
      <c r="G16" s="1" t="s">
        <v>123</v>
      </c>
      <c r="I16" s="1" t="s">
        <v>38</v>
      </c>
      <c r="K16" s="1" t="s">
        <v>124</v>
      </c>
      <c r="M16" s="1" t="n">
        <v>694</v>
      </c>
    </row>
    <row r="17" customFormat="false" ht="21" hidden="false" customHeight="true" outlineLevel="0" collapsed="false">
      <c r="A17" s="1" t="s">
        <v>126</v>
      </c>
      <c r="B17" s="1" t="s">
        <v>43</v>
      </c>
      <c r="C17" s="1" t="s">
        <v>199</v>
      </c>
      <c r="D17" s="1" t="s">
        <v>91</v>
      </c>
      <c r="E17" s="1" t="s">
        <v>128</v>
      </c>
      <c r="G17" s="1" t="s">
        <v>129</v>
      </c>
      <c r="I17" s="1" t="s">
        <v>130</v>
      </c>
      <c r="K17" s="1" t="s">
        <v>131</v>
      </c>
      <c r="M17" s="1" t="n">
        <v>687</v>
      </c>
      <c r="N17" s="1" t="s">
        <v>52</v>
      </c>
    </row>
    <row r="18" customFormat="false" ht="21" hidden="false" customHeight="true" outlineLevel="0" collapsed="false">
      <c r="A18" s="1" t="s">
        <v>133</v>
      </c>
      <c r="B18" s="1" t="s">
        <v>54</v>
      </c>
      <c r="C18" s="1" t="s">
        <v>199</v>
      </c>
      <c r="D18" s="1" t="s">
        <v>66</v>
      </c>
      <c r="E18" s="1" t="s">
        <v>135</v>
      </c>
      <c r="G18" s="1" t="s">
        <v>37</v>
      </c>
      <c r="I18" s="1" t="s">
        <v>48</v>
      </c>
      <c r="K18" s="1" t="s">
        <v>136</v>
      </c>
      <c r="M18" s="1" t="n">
        <v>667</v>
      </c>
    </row>
    <row r="19" customFormat="false" ht="21" hidden="false" customHeight="true" outlineLevel="0" collapsed="false">
      <c r="A19" s="1" t="s">
        <v>138</v>
      </c>
      <c r="B19" s="1" t="s">
        <v>64</v>
      </c>
      <c r="C19" s="1" t="s">
        <v>199</v>
      </c>
      <c r="D19" s="1" t="s">
        <v>25</v>
      </c>
      <c r="E19" s="1" t="s">
        <v>140</v>
      </c>
      <c r="G19" s="1" t="s">
        <v>141</v>
      </c>
      <c r="I19" s="1" t="s">
        <v>142</v>
      </c>
      <c r="K19" s="1" t="s">
        <v>143</v>
      </c>
      <c r="M19" s="1" t="n">
        <v>730</v>
      </c>
    </row>
    <row r="20" customFormat="false" ht="21" hidden="false" customHeight="true" outlineLevel="0" collapsed="false">
      <c r="A20" s="1" t="s">
        <v>145</v>
      </c>
      <c r="B20" s="1" t="s">
        <v>23</v>
      </c>
      <c r="C20" s="1" t="s">
        <v>199</v>
      </c>
      <c r="D20" s="1" t="s">
        <v>147</v>
      </c>
      <c r="E20" s="1" t="s">
        <v>148</v>
      </c>
      <c r="G20" s="1" t="s">
        <v>149</v>
      </c>
      <c r="I20" s="1" t="s">
        <v>28</v>
      </c>
      <c r="K20" s="1" t="s">
        <v>150</v>
      </c>
      <c r="M20" s="1" t="n">
        <v>764</v>
      </c>
    </row>
    <row r="21" customFormat="false" ht="21" hidden="false" customHeight="true" outlineLevel="0" collapsed="false">
      <c r="A21" s="1" t="s">
        <v>152</v>
      </c>
      <c r="B21" s="1" t="s">
        <v>33</v>
      </c>
      <c r="C21" s="1" t="s">
        <v>199</v>
      </c>
      <c r="D21" s="1" t="s">
        <v>56</v>
      </c>
      <c r="E21" s="1" t="s">
        <v>154</v>
      </c>
      <c r="G21" s="1" t="s">
        <v>155</v>
      </c>
      <c r="I21" s="1" t="s">
        <v>48</v>
      </c>
      <c r="K21" s="1" t="s">
        <v>156</v>
      </c>
      <c r="M21" s="1" t="n">
        <v>700</v>
      </c>
    </row>
    <row r="22" customFormat="false" ht="21" hidden="false" customHeight="true" outlineLevel="0" collapsed="false">
      <c r="A22" s="1" t="s">
        <v>158</v>
      </c>
      <c r="B22" s="1" t="s">
        <v>43</v>
      </c>
      <c r="C22" s="1" t="s">
        <v>199</v>
      </c>
      <c r="D22" s="1" t="s">
        <v>160</v>
      </c>
      <c r="E22" s="1" t="s">
        <v>161</v>
      </c>
      <c r="G22" s="1" t="s">
        <v>162</v>
      </c>
      <c r="I22" s="1" t="s">
        <v>59</v>
      </c>
      <c r="K22" s="1" t="s">
        <v>163</v>
      </c>
      <c r="M22" s="1" t="n">
        <v>727.5</v>
      </c>
      <c r="N22" s="1" t="s">
        <v>52</v>
      </c>
    </row>
    <row r="23" customFormat="false" ht="21" hidden="false" customHeight="true" outlineLevel="0" collapsed="false">
      <c r="A23" s="1" t="s">
        <v>165</v>
      </c>
      <c r="B23" s="1" t="s">
        <v>54</v>
      </c>
      <c r="C23" s="1" t="s">
        <v>199</v>
      </c>
      <c r="D23" s="1" t="s">
        <v>91</v>
      </c>
      <c r="E23" s="1" t="s">
        <v>167</v>
      </c>
      <c r="G23" s="1" t="s">
        <v>168</v>
      </c>
      <c r="I23" s="1" t="s">
        <v>38</v>
      </c>
      <c r="K23" s="1" t="s">
        <v>94</v>
      </c>
      <c r="M23" s="1" t="n">
        <v>687</v>
      </c>
    </row>
    <row r="24" customFormat="false" ht="21" hidden="false" customHeight="true" outlineLevel="0" collapsed="false">
      <c r="A24" s="1" t="s">
        <v>170</v>
      </c>
      <c r="B24" s="1" t="s">
        <v>64</v>
      </c>
      <c r="C24" s="1" t="s">
        <v>200</v>
      </c>
      <c r="N24" s="1" t="s">
        <v>171</v>
      </c>
    </row>
    <row r="25" customFormat="false" ht="21" hidden="false" customHeight="true" outlineLevel="0" collapsed="false">
      <c r="A25" s="1" t="s">
        <v>172</v>
      </c>
      <c r="B25" s="1" t="s">
        <v>23</v>
      </c>
      <c r="C25" s="1" t="s">
        <v>200</v>
      </c>
      <c r="N25" s="1" t="s">
        <v>173</v>
      </c>
    </row>
    <row r="26" customFormat="false" ht="21" hidden="false" customHeight="true" outlineLevel="0" collapsed="false">
      <c r="A26" s="1" t="s">
        <v>174</v>
      </c>
      <c r="B26" s="1" t="s">
        <v>33</v>
      </c>
      <c r="C26" s="1" t="s">
        <v>199</v>
      </c>
      <c r="D26" s="1" t="s">
        <v>66</v>
      </c>
      <c r="E26" s="1" t="s">
        <v>176</v>
      </c>
      <c r="G26" s="1" t="s">
        <v>177</v>
      </c>
      <c r="I26" s="1" t="s">
        <v>48</v>
      </c>
      <c r="K26" s="1" t="s">
        <v>178</v>
      </c>
      <c r="M26" s="1" t="n">
        <v>722</v>
      </c>
    </row>
    <row r="27" customFormat="false" ht="21" hidden="false" customHeight="true" outlineLevel="0" collapsed="false">
      <c r="A27" s="1" t="s">
        <v>180</v>
      </c>
      <c r="B27" s="1" t="s">
        <v>43</v>
      </c>
      <c r="C27" s="1" t="s">
        <v>199</v>
      </c>
      <c r="D27" s="1" t="s">
        <v>182</v>
      </c>
      <c r="E27" s="1" t="s">
        <v>183</v>
      </c>
      <c r="G27" s="1" t="s">
        <v>100</v>
      </c>
      <c r="I27" s="1" t="s">
        <v>48</v>
      </c>
      <c r="K27" s="1" t="s">
        <v>184</v>
      </c>
      <c r="M27" s="1" t="n">
        <v>730</v>
      </c>
      <c r="N27" s="1" t="s">
        <v>52</v>
      </c>
    </row>
    <row r="28" customFormat="false" ht="24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</sheetData>
  <autoFilter ref="A4:N27"/>
  <mergeCells count="3">
    <mergeCell ref="A1:N1"/>
    <mergeCell ref="A2:N2"/>
    <mergeCell ref="A28:L28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6.94"/>
    <col collapsed="false" customWidth="true" hidden="false" outlineLevel="0" max="3" min="3" style="1" width="19.08"/>
    <col collapsed="false" customWidth="true" hidden="false" outlineLevel="0" max="4" min="4" style="1" width="13.88"/>
    <col collapsed="false" customWidth="true" hidden="false" outlineLevel="0" max="5" min="5" style="1" width="12.15"/>
    <col collapsed="false" customWidth="true" hidden="false" outlineLevel="0" max="6" min="6" style="1" width="19.08"/>
    <col collapsed="false" customWidth="true" hidden="false" outlineLevel="0" max="7" min="7" style="1" width="13.88"/>
    <col collapsed="false" customWidth="true" hidden="false" outlineLevel="0" max="8" min="8" style="1" width="22.55"/>
    <col collapsed="false" customWidth="true" hidden="false" outlineLevel="0" max="1025" min="9" style="1" width="7.52"/>
  </cols>
  <sheetData>
    <row r="1" customFormat="false" ht="15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202</v>
      </c>
      <c r="B2" s="3"/>
      <c r="C2" s="3"/>
      <c r="D2" s="3"/>
      <c r="E2" s="3"/>
      <c r="F2" s="3"/>
      <c r="G2" s="3"/>
      <c r="H2" s="3"/>
    </row>
    <row r="4" customFormat="false" ht="26" hidden="false" customHeight="true" outlineLevel="0" collapsed="false">
      <c r="A4" s="10" t="s">
        <v>10</v>
      </c>
      <c r="B4" s="10" t="s">
        <v>11</v>
      </c>
      <c r="C4" s="10" t="s">
        <v>203</v>
      </c>
      <c r="D4" s="10" t="s">
        <v>204</v>
      </c>
      <c r="E4" s="10" t="s">
        <v>205</v>
      </c>
      <c r="F4" s="10" t="s">
        <v>206</v>
      </c>
      <c r="G4" s="10" t="s">
        <v>207</v>
      </c>
      <c r="H4" s="10" t="s">
        <v>208</v>
      </c>
    </row>
    <row r="5" customFormat="false" ht="21" hidden="false" customHeight="true" outlineLevel="0" collapsed="false">
      <c r="A5" s="1" t="s">
        <v>22</v>
      </c>
      <c r="B5" s="1" t="s">
        <v>23</v>
      </c>
      <c r="C5" s="1" t="s">
        <v>209</v>
      </c>
      <c r="D5" s="1" t="s">
        <v>210</v>
      </c>
      <c r="E5" s="1" t="s">
        <v>30</v>
      </c>
      <c r="F5" s="1" t="s">
        <v>31</v>
      </c>
      <c r="G5" s="1" t="s">
        <v>211</v>
      </c>
    </row>
    <row r="6" customFormat="false" ht="21" hidden="false" customHeight="true" outlineLevel="0" collapsed="false">
      <c r="A6" s="1" t="s">
        <v>32</v>
      </c>
      <c r="B6" s="1" t="s">
        <v>33</v>
      </c>
      <c r="C6" s="1" t="s">
        <v>34</v>
      </c>
      <c r="D6" s="1" t="s">
        <v>211</v>
      </c>
      <c r="E6" s="1" t="s">
        <v>40</v>
      </c>
      <c r="F6" s="1" t="s">
        <v>41</v>
      </c>
      <c r="G6" s="1" t="s">
        <v>211</v>
      </c>
    </row>
    <row r="7" customFormat="false" ht="21" hidden="false" customHeight="true" outlineLevel="0" collapsed="false">
      <c r="A7" s="1" t="s">
        <v>42</v>
      </c>
      <c r="B7" s="1" t="s">
        <v>43</v>
      </c>
      <c r="C7" s="1" t="s">
        <v>44</v>
      </c>
      <c r="D7" s="1" t="s">
        <v>211</v>
      </c>
      <c r="E7" s="1" t="s">
        <v>50</v>
      </c>
      <c r="F7" s="1" t="s">
        <v>212</v>
      </c>
      <c r="G7" s="1" t="s">
        <v>213</v>
      </c>
      <c r="H7" s="1" t="s">
        <v>52</v>
      </c>
    </row>
    <row r="8" customFormat="false" ht="21" hidden="false" customHeight="true" outlineLevel="0" collapsed="false">
      <c r="A8" s="1" t="s">
        <v>53</v>
      </c>
      <c r="B8" s="1" t="s">
        <v>54</v>
      </c>
      <c r="C8" s="1" t="s">
        <v>214</v>
      </c>
      <c r="D8" s="1" t="s">
        <v>210</v>
      </c>
      <c r="E8" s="1" t="s">
        <v>61</v>
      </c>
      <c r="F8" s="1" t="s">
        <v>62</v>
      </c>
      <c r="G8" s="1" t="s">
        <v>211</v>
      </c>
    </row>
    <row r="9" customFormat="false" ht="21" hidden="false" customHeight="true" outlineLevel="0" collapsed="false">
      <c r="A9" s="1" t="s">
        <v>63</v>
      </c>
      <c r="B9" s="1" t="s">
        <v>64</v>
      </c>
      <c r="C9" s="1" t="s">
        <v>65</v>
      </c>
      <c r="D9" s="1" t="s">
        <v>211</v>
      </c>
      <c r="E9" s="1" t="s">
        <v>70</v>
      </c>
      <c r="F9" s="1" t="s">
        <v>71</v>
      </c>
      <c r="G9" s="1" t="s">
        <v>211</v>
      </c>
      <c r="H9" s="1" t="s">
        <v>72</v>
      </c>
    </row>
    <row r="10" customFormat="false" ht="21" hidden="false" customHeight="true" outlineLevel="0" collapsed="false">
      <c r="A10" s="1" t="s">
        <v>73</v>
      </c>
      <c r="B10" s="1" t="s">
        <v>23</v>
      </c>
      <c r="C10" s="1" t="s">
        <v>215</v>
      </c>
      <c r="D10" s="1" t="s">
        <v>210</v>
      </c>
      <c r="E10" s="1" t="s">
        <v>30</v>
      </c>
      <c r="F10" s="1" t="s">
        <v>79</v>
      </c>
      <c r="G10" s="1" t="s">
        <v>211</v>
      </c>
      <c r="H10" s="1" t="s">
        <v>80</v>
      </c>
    </row>
    <row r="11" customFormat="false" ht="21" hidden="false" customHeight="true" outlineLevel="0" collapsed="false">
      <c r="A11" s="1" t="s">
        <v>81</v>
      </c>
      <c r="B11" s="1" t="s">
        <v>33</v>
      </c>
      <c r="C11" s="1" t="s">
        <v>82</v>
      </c>
      <c r="D11" s="1" t="s">
        <v>211</v>
      </c>
      <c r="E11" s="1" t="s">
        <v>87</v>
      </c>
      <c r="F11" s="1" t="s">
        <v>88</v>
      </c>
      <c r="G11" s="1" t="s">
        <v>211</v>
      </c>
    </row>
    <row r="12" customFormat="false" ht="21" hidden="false" customHeight="true" outlineLevel="0" collapsed="false">
      <c r="A12" s="1" t="s">
        <v>89</v>
      </c>
      <c r="B12" s="1" t="s">
        <v>43</v>
      </c>
      <c r="C12" s="1" t="s">
        <v>90</v>
      </c>
      <c r="D12" s="1" t="s">
        <v>211</v>
      </c>
      <c r="E12" s="1" t="s">
        <v>95</v>
      </c>
      <c r="F12" s="1" t="s">
        <v>96</v>
      </c>
      <c r="G12" s="1" t="s">
        <v>211</v>
      </c>
      <c r="H12" s="1" t="s">
        <v>52</v>
      </c>
    </row>
    <row r="13" customFormat="false" ht="21" hidden="false" customHeight="true" outlineLevel="0" collapsed="false">
      <c r="A13" s="1" t="s">
        <v>97</v>
      </c>
      <c r="B13" s="1" t="s">
        <v>54</v>
      </c>
      <c r="C13" s="1" t="s">
        <v>216</v>
      </c>
      <c r="D13" s="1" t="s">
        <v>210</v>
      </c>
      <c r="E13" s="1" t="s">
        <v>61</v>
      </c>
      <c r="F13" s="1" t="s">
        <v>103</v>
      </c>
      <c r="G13" s="1" t="s">
        <v>211</v>
      </c>
    </row>
    <row r="14" customFormat="false" ht="21" hidden="false" customHeight="true" outlineLevel="0" collapsed="false">
      <c r="A14" s="1" t="s">
        <v>104</v>
      </c>
      <c r="B14" s="1" t="s">
        <v>64</v>
      </c>
      <c r="C14" s="1" t="s">
        <v>105</v>
      </c>
      <c r="D14" s="1" t="s">
        <v>211</v>
      </c>
      <c r="E14" s="1" t="s">
        <v>110</v>
      </c>
      <c r="F14" s="1" t="s">
        <v>111</v>
      </c>
      <c r="G14" s="1" t="s">
        <v>211</v>
      </c>
    </row>
    <row r="15" customFormat="false" ht="21" hidden="false" customHeight="true" outlineLevel="0" collapsed="false">
      <c r="A15" s="1" t="s">
        <v>112</v>
      </c>
      <c r="B15" s="1" t="s">
        <v>23</v>
      </c>
      <c r="C15" s="1" t="s">
        <v>217</v>
      </c>
      <c r="D15" s="1" t="s">
        <v>210</v>
      </c>
      <c r="E15" s="1" t="s">
        <v>30</v>
      </c>
      <c r="F15" s="1" t="s">
        <v>119</v>
      </c>
      <c r="G15" s="1" t="s">
        <v>211</v>
      </c>
    </row>
    <row r="16" customFormat="false" ht="21" hidden="false" customHeight="true" outlineLevel="0" collapsed="false">
      <c r="A16" s="1" t="s">
        <v>120</v>
      </c>
      <c r="B16" s="1" t="s">
        <v>33</v>
      </c>
      <c r="C16" s="1" t="s">
        <v>121</v>
      </c>
      <c r="D16" s="1" t="s">
        <v>211</v>
      </c>
      <c r="E16" s="1" t="s">
        <v>40</v>
      </c>
      <c r="F16" s="1" t="s">
        <v>125</v>
      </c>
      <c r="G16" s="1" t="s">
        <v>211</v>
      </c>
    </row>
    <row r="17" customFormat="false" ht="21" hidden="false" customHeight="true" outlineLevel="0" collapsed="false">
      <c r="A17" s="1" t="s">
        <v>126</v>
      </c>
      <c r="B17" s="1" t="s">
        <v>43</v>
      </c>
      <c r="C17" s="1" t="s">
        <v>218</v>
      </c>
      <c r="D17" s="1" t="s">
        <v>210</v>
      </c>
      <c r="E17" s="1" t="s">
        <v>61</v>
      </c>
      <c r="F17" s="1" t="s">
        <v>132</v>
      </c>
      <c r="G17" s="1" t="s">
        <v>211</v>
      </c>
      <c r="H17" s="1" t="s">
        <v>52</v>
      </c>
    </row>
    <row r="18" customFormat="false" ht="21" hidden="false" customHeight="true" outlineLevel="0" collapsed="false">
      <c r="A18" s="1" t="s">
        <v>133</v>
      </c>
      <c r="B18" s="1" t="s">
        <v>54</v>
      </c>
      <c r="C18" s="1" t="s">
        <v>134</v>
      </c>
      <c r="D18" s="1" t="s">
        <v>211</v>
      </c>
      <c r="E18" s="1" t="s">
        <v>50</v>
      </c>
      <c r="F18" s="1" t="s">
        <v>137</v>
      </c>
      <c r="G18" s="1" t="s">
        <v>211</v>
      </c>
    </row>
    <row r="19" customFormat="false" ht="21" hidden="false" customHeight="true" outlineLevel="0" collapsed="false">
      <c r="A19" s="1" t="s">
        <v>138</v>
      </c>
      <c r="B19" s="1" t="s">
        <v>64</v>
      </c>
      <c r="C19" s="1" t="s">
        <v>139</v>
      </c>
      <c r="D19" s="1" t="s">
        <v>211</v>
      </c>
      <c r="E19" s="1" t="s">
        <v>70</v>
      </c>
      <c r="F19" s="1" t="s">
        <v>144</v>
      </c>
      <c r="G19" s="1" t="s">
        <v>211</v>
      </c>
    </row>
    <row r="20" customFormat="false" ht="21" hidden="false" customHeight="true" outlineLevel="0" collapsed="false">
      <c r="A20" s="1" t="s">
        <v>145</v>
      </c>
      <c r="B20" s="1" t="s">
        <v>23</v>
      </c>
      <c r="C20" s="1" t="s">
        <v>219</v>
      </c>
      <c r="D20" s="1" t="s">
        <v>210</v>
      </c>
      <c r="E20" s="1" t="s">
        <v>30</v>
      </c>
      <c r="F20" s="1" t="s">
        <v>151</v>
      </c>
      <c r="G20" s="1" t="s">
        <v>211</v>
      </c>
    </row>
    <row r="21" customFormat="false" ht="21" hidden="false" customHeight="true" outlineLevel="0" collapsed="false">
      <c r="A21" s="1" t="s">
        <v>152</v>
      </c>
      <c r="B21" s="1" t="s">
        <v>33</v>
      </c>
      <c r="C21" s="1" t="s">
        <v>153</v>
      </c>
      <c r="D21" s="1" t="s">
        <v>211</v>
      </c>
      <c r="E21" s="1" t="s">
        <v>70</v>
      </c>
      <c r="F21" s="1" t="s">
        <v>157</v>
      </c>
      <c r="G21" s="1" t="s">
        <v>211</v>
      </c>
    </row>
    <row r="22" customFormat="false" ht="21" hidden="false" customHeight="true" outlineLevel="0" collapsed="false">
      <c r="A22" s="1" t="s">
        <v>158</v>
      </c>
      <c r="B22" s="1" t="s">
        <v>43</v>
      </c>
      <c r="C22" s="1" t="s">
        <v>159</v>
      </c>
      <c r="D22" s="1" t="s">
        <v>211</v>
      </c>
      <c r="E22" s="1" t="s">
        <v>50</v>
      </c>
      <c r="F22" s="1" t="s">
        <v>164</v>
      </c>
      <c r="G22" s="1" t="s">
        <v>211</v>
      </c>
      <c r="H22" s="1" t="s">
        <v>52</v>
      </c>
    </row>
    <row r="23" customFormat="false" ht="21" hidden="false" customHeight="true" outlineLevel="0" collapsed="false">
      <c r="A23" s="1" t="s">
        <v>165</v>
      </c>
      <c r="B23" s="1" t="s">
        <v>54</v>
      </c>
      <c r="C23" s="1" t="s">
        <v>166</v>
      </c>
      <c r="D23" s="1" t="s">
        <v>211</v>
      </c>
      <c r="E23" s="1" t="s">
        <v>61</v>
      </c>
      <c r="F23" s="1" t="s">
        <v>220</v>
      </c>
      <c r="G23" s="1" t="s">
        <v>210</v>
      </c>
    </row>
    <row r="24" customFormat="false" ht="21" hidden="false" customHeight="true" outlineLevel="0" collapsed="false">
      <c r="A24" s="1" t="s">
        <v>170</v>
      </c>
      <c r="B24" s="1" t="s">
        <v>64</v>
      </c>
      <c r="H24" s="1" t="s">
        <v>171</v>
      </c>
    </row>
    <row r="25" customFormat="false" ht="21" hidden="false" customHeight="true" outlineLevel="0" collapsed="false">
      <c r="A25" s="1" t="s">
        <v>172</v>
      </c>
      <c r="B25" s="1" t="s">
        <v>23</v>
      </c>
      <c r="H25" s="1" t="s">
        <v>173</v>
      </c>
    </row>
    <row r="26" customFormat="false" ht="21" hidden="false" customHeight="true" outlineLevel="0" collapsed="false">
      <c r="A26" s="1" t="s">
        <v>174</v>
      </c>
      <c r="B26" s="1" t="s">
        <v>33</v>
      </c>
      <c r="C26" s="1" t="s">
        <v>221</v>
      </c>
      <c r="D26" s="1" t="s">
        <v>210</v>
      </c>
      <c r="E26" s="1" t="s">
        <v>30</v>
      </c>
      <c r="F26" s="1" t="s">
        <v>179</v>
      </c>
      <c r="G26" s="1" t="s">
        <v>211</v>
      </c>
    </row>
    <row r="27" customFormat="false" ht="21" hidden="false" customHeight="true" outlineLevel="0" collapsed="false">
      <c r="A27" s="1" t="s">
        <v>180</v>
      </c>
      <c r="B27" s="1" t="s">
        <v>43</v>
      </c>
      <c r="C27" s="1" t="s">
        <v>222</v>
      </c>
      <c r="D27" s="1" t="s">
        <v>223</v>
      </c>
      <c r="E27" s="1" t="s">
        <v>87</v>
      </c>
      <c r="F27" s="1" t="s">
        <v>185</v>
      </c>
      <c r="G27" s="1" t="s">
        <v>211</v>
      </c>
      <c r="H27" s="1" t="s">
        <v>52</v>
      </c>
    </row>
  </sheetData>
  <autoFilter ref="A4:H27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M42" activeCellId="0" sqref="M42"/>
    </sheetView>
  </sheetViews>
  <sheetFormatPr defaultRowHeight="15" zeroHeight="false" outlineLevelRow="0" outlineLevelCol="0"/>
  <cols>
    <col collapsed="false" customWidth="true" hidden="false" outlineLevel="0" max="1" min="1" style="1" width="22.55"/>
    <col collapsed="false" customWidth="true" hidden="false" outlineLevel="0" max="2" min="2" style="1" width="12.15"/>
    <col collapsed="false" customWidth="true" hidden="false" outlineLevel="0" max="3" min="3" style="1" width="31.22"/>
    <col collapsed="false" customWidth="true" hidden="false" outlineLevel="0" max="4" min="4" style="1" width="5.21"/>
    <col collapsed="false" customWidth="true" hidden="false" outlineLevel="0" max="10" min="5" style="1" width="12.15"/>
    <col collapsed="false" customWidth="true" hidden="false" outlineLevel="0" max="1025" min="11" style="1" width="7.52"/>
  </cols>
  <sheetData>
    <row r="1" customFormat="false" ht="15" hidden="false" customHeight="true" outlineLevel="0" collapsed="false">
      <c r="A1" s="2" t="s">
        <v>224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225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11" t="s">
        <v>226</v>
      </c>
      <c r="B4" s="11"/>
    </row>
    <row r="5" customFormat="false" ht="20" hidden="false" customHeight="true" outlineLevel="0" collapsed="false">
      <c r="A5" s="12" t="s">
        <v>227</v>
      </c>
      <c r="B5" s="13" t="n">
        <v>21</v>
      </c>
    </row>
    <row r="6" customFormat="false" ht="20" hidden="false" customHeight="true" outlineLevel="0" collapsed="false">
      <c r="A6" s="12" t="s">
        <v>228</v>
      </c>
      <c r="B6" s="14" t="n">
        <v>712.76</v>
      </c>
    </row>
    <row r="7" customFormat="false" ht="20" hidden="false" customHeight="true" outlineLevel="0" collapsed="false">
      <c r="A7" s="12" t="s">
        <v>229</v>
      </c>
      <c r="B7" s="13" t="n">
        <v>716</v>
      </c>
    </row>
    <row r="8" customFormat="false" ht="20" hidden="false" customHeight="true" outlineLevel="0" collapsed="false">
      <c r="A8" s="12" t="s">
        <v>230</v>
      </c>
      <c r="B8" s="13" t="n">
        <v>784</v>
      </c>
    </row>
    <row r="9" customFormat="false" ht="20" hidden="false" customHeight="true" outlineLevel="0" collapsed="false">
      <c r="A9" s="12" t="s">
        <v>231</v>
      </c>
      <c r="B9" s="13" t="n">
        <v>649</v>
      </c>
    </row>
    <row r="10" customFormat="false" ht="20" hidden="false" customHeight="true" outlineLevel="0" collapsed="false">
      <c r="A10" s="12" t="s">
        <v>232</v>
      </c>
      <c r="B10" s="15" t="s">
        <v>233</v>
      </c>
    </row>
    <row r="12" customFormat="false" ht="15" hidden="false" customHeight="true" outlineLevel="0" collapsed="false">
      <c r="A12" s="11" t="s">
        <v>234</v>
      </c>
      <c r="B12" s="11"/>
      <c r="C12" s="11"/>
    </row>
    <row r="13" customFormat="false" ht="15" hidden="false" customHeight="true" outlineLevel="0" collapsed="false">
      <c r="A13" s="8" t="s">
        <v>235</v>
      </c>
      <c r="B13" s="8" t="s">
        <v>236</v>
      </c>
      <c r="C13" s="8" t="s">
        <v>237</v>
      </c>
    </row>
    <row r="14" customFormat="false" ht="20" hidden="false" customHeight="true" outlineLevel="0" collapsed="false">
      <c r="A14" s="16" t="s">
        <v>238</v>
      </c>
      <c r="B14" s="15" t="n">
        <v>10</v>
      </c>
      <c r="C14" s="17" t="n">
        <f aca="false">B14/$B$17</f>
        <v>0.476190476190476</v>
      </c>
    </row>
    <row r="15" customFormat="false" ht="20" hidden="false" customHeight="true" outlineLevel="0" collapsed="false">
      <c r="A15" s="16" t="s">
        <v>239</v>
      </c>
      <c r="B15" s="15" t="n">
        <v>10</v>
      </c>
      <c r="C15" s="17" t="n">
        <f aca="false">B15/$B$17</f>
        <v>0.476190476190476</v>
      </c>
    </row>
    <row r="16" customFormat="false" ht="20" hidden="false" customHeight="true" outlineLevel="0" collapsed="false">
      <c r="A16" s="16" t="s">
        <v>240</v>
      </c>
      <c r="B16" s="15" t="n">
        <v>1</v>
      </c>
      <c r="C16" s="17" t="n">
        <f aca="false">B16/$B$17</f>
        <v>0.0476190476190476</v>
      </c>
    </row>
    <row r="17" customFormat="false" ht="22" hidden="false" customHeight="true" outlineLevel="0" collapsed="false">
      <c r="A17" s="18" t="s">
        <v>241</v>
      </c>
      <c r="B17" s="19" t="n">
        <f aca="false">SUM(B14:B16)</f>
        <v>21</v>
      </c>
      <c r="C17" s="20" t="n">
        <f aca="false">SUM(C14:C16)</f>
        <v>1</v>
      </c>
    </row>
    <row r="19" customFormat="false" ht="15" hidden="false" customHeight="true" outlineLevel="0" collapsed="false">
      <c r="A19" s="11" t="s">
        <v>242</v>
      </c>
      <c r="B19" s="11"/>
    </row>
    <row r="20" customFormat="false" ht="20" hidden="false" customHeight="true" outlineLevel="0" collapsed="false">
      <c r="A20" s="16" t="s">
        <v>243</v>
      </c>
      <c r="B20" s="21" t="n">
        <v>19</v>
      </c>
    </row>
    <row r="21" customFormat="false" ht="20" hidden="false" customHeight="true" outlineLevel="0" collapsed="false">
      <c r="A21" s="16" t="s">
        <v>244</v>
      </c>
      <c r="B21" s="21" t="n">
        <v>2</v>
      </c>
    </row>
    <row r="22" customFormat="false" ht="20" hidden="false" customHeight="true" outlineLevel="0" collapsed="false">
      <c r="A22" s="16" t="s">
        <v>245</v>
      </c>
      <c r="B22" s="21" t="n">
        <v>4</v>
      </c>
    </row>
    <row r="23" customFormat="false" ht="20" hidden="false" customHeight="true" outlineLevel="0" collapsed="false">
      <c r="A23" s="16" t="s">
        <v>246</v>
      </c>
      <c r="B23" s="21" t="n">
        <v>4</v>
      </c>
    </row>
    <row r="24" customFormat="false" ht="20" hidden="false" customHeight="true" outlineLevel="0" collapsed="false">
      <c r="A24" s="16" t="s">
        <v>247</v>
      </c>
      <c r="B24" s="21" t="n">
        <v>4</v>
      </c>
    </row>
    <row r="25" customFormat="false" ht="20" hidden="false" customHeight="true" outlineLevel="0" collapsed="false">
      <c r="A25" s="16" t="s">
        <v>248</v>
      </c>
      <c r="B25" s="21" t="n">
        <v>3</v>
      </c>
    </row>
    <row r="26" customFormat="false" ht="20" hidden="false" customHeight="true" outlineLevel="0" collapsed="false">
      <c r="A26" s="16" t="s">
        <v>249</v>
      </c>
      <c r="B26" s="21" t="n">
        <v>13</v>
      </c>
    </row>
    <row r="27" customFormat="false" ht="20" hidden="false" customHeight="true" outlineLevel="0" collapsed="false">
      <c r="A27" s="16" t="s">
        <v>250</v>
      </c>
      <c r="B27" s="21" t="n">
        <v>8</v>
      </c>
    </row>
    <row r="28" customFormat="false" ht="15" hidden="false" customHeight="true" outlineLevel="0" collapsed="false">
      <c r="A28" s="22" t="s">
        <v>251</v>
      </c>
      <c r="B28" s="22"/>
      <c r="C28" s="22"/>
    </row>
    <row r="29" customFormat="false" ht="15" hidden="false" customHeight="true" outlineLevel="0" collapsed="false">
      <c r="A29" s="8" t="s">
        <v>252</v>
      </c>
      <c r="B29" s="8" t="s">
        <v>253</v>
      </c>
      <c r="C29" s="8" t="s">
        <v>254</v>
      </c>
    </row>
    <row r="30" customFormat="false" ht="20" hidden="false" customHeight="true" outlineLevel="0" collapsed="false">
      <c r="A30" s="23" t="s">
        <v>30</v>
      </c>
      <c r="B30" s="21" t="n">
        <v>5</v>
      </c>
      <c r="C30" s="24" t="s">
        <v>255</v>
      </c>
    </row>
    <row r="31" customFormat="false" ht="20" hidden="false" customHeight="true" outlineLevel="0" collapsed="false">
      <c r="A31" s="23" t="s">
        <v>61</v>
      </c>
      <c r="B31" s="21" t="n">
        <v>4</v>
      </c>
      <c r="C31" s="24" t="s">
        <v>256</v>
      </c>
    </row>
    <row r="32" customFormat="false" ht="20" hidden="false" customHeight="true" outlineLevel="0" collapsed="false">
      <c r="A32" s="23" t="s">
        <v>50</v>
      </c>
      <c r="B32" s="21" t="n">
        <v>3</v>
      </c>
      <c r="C32" s="24" t="s">
        <v>257</v>
      </c>
    </row>
    <row r="33" customFormat="false" ht="20" hidden="false" customHeight="true" outlineLevel="0" collapsed="false">
      <c r="A33" s="23" t="s">
        <v>70</v>
      </c>
      <c r="B33" s="21" t="n">
        <v>3</v>
      </c>
      <c r="C33" s="24" t="s">
        <v>258</v>
      </c>
    </row>
    <row r="34" customFormat="false" ht="20" hidden="false" customHeight="true" outlineLevel="0" collapsed="false">
      <c r="A34" s="23" t="s">
        <v>40</v>
      </c>
      <c r="B34" s="21" t="n">
        <v>2</v>
      </c>
      <c r="C34" s="24" t="s">
        <v>259</v>
      </c>
    </row>
    <row r="35" customFormat="false" ht="20" hidden="false" customHeight="true" outlineLevel="0" collapsed="false">
      <c r="A35" s="23" t="s">
        <v>87</v>
      </c>
      <c r="B35" s="21" t="n">
        <v>2</v>
      </c>
      <c r="C35" s="24" t="s">
        <v>260</v>
      </c>
    </row>
    <row r="36" customFormat="false" ht="20" hidden="false" customHeight="true" outlineLevel="0" collapsed="false">
      <c r="A36" s="23" t="s">
        <v>110</v>
      </c>
      <c r="B36" s="21" t="n">
        <v>1</v>
      </c>
      <c r="C36" s="24" t="s">
        <v>261</v>
      </c>
    </row>
    <row r="37" customFormat="false" ht="20" hidden="false" customHeight="true" outlineLevel="0" collapsed="false">
      <c r="A37" s="23" t="s">
        <v>95</v>
      </c>
      <c r="B37" s="21" t="n">
        <v>1</v>
      </c>
      <c r="C37" s="24" t="s">
        <v>262</v>
      </c>
    </row>
    <row r="38" customFormat="false" ht="22" hidden="false" customHeight="true" outlineLevel="0" collapsed="false">
      <c r="A38" s="18" t="s">
        <v>263</v>
      </c>
      <c r="B38" s="19" t="n">
        <f aca="false">SUM(B30:B37)</f>
        <v>21</v>
      </c>
      <c r="C38" s="18" t="s">
        <v>264</v>
      </c>
    </row>
    <row r="40" customFormat="false" ht="15" hidden="false" customHeight="true" outlineLevel="0" collapsed="false">
      <c r="A40" s="22" t="s">
        <v>265</v>
      </c>
      <c r="B40" s="22"/>
      <c r="C40" s="22"/>
    </row>
    <row r="41" customFormat="false" ht="20" hidden="false" customHeight="true" outlineLevel="0" collapsed="false">
      <c r="A41" s="16" t="s">
        <v>266</v>
      </c>
      <c r="B41" s="21" t="n">
        <v>8</v>
      </c>
      <c r="C41" s="24" t="s">
        <v>267</v>
      </c>
    </row>
    <row r="42" customFormat="false" ht="20" hidden="false" customHeight="true" outlineLevel="0" collapsed="false">
      <c r="A42" s="16" t="s">
        <v>268</v>
      </c>
      <c r="B42" s="21" t="n">
        <v>6</v>
      </c>
      <c r="C42" s="24" t="s">
        <v>269</v>
      </c>
    </row>
    <row r="43" customFormat="false" ht="20" hidden="false" customHeight="true" outlineLevel="0" collapsed="false">
      <c r="A43" s="16" t="s">
        <v>270</v>
      </c>
      <c r="B43" s="21" t="n">
        <v>10</v>
      </c>
      <c r="C43" s="24" t="s">
        <v>271</v>
      </c>
    </row>
    <row r="44" customFormat="false" ht="20" hidden="false" customHeight="true" outlineLevel="0" collapsed="false">
      <c r="A44" s="16" t="s">
        <v>272</v>
      </c>
      <c r="B44" s="21" t="n">
        <v>8</v>
      </c>
      <c r="C44" s="24" t="s">
        <v>273</v>
      </c>
    </row>
    <row r="45" customFormat="false" ht="20" hidden="false" customHeight="true" outlineLevel="0" collapsed="false">
      <c r="A45" s="16" t="s">
        <v>274</v>
      </c>
      <c r="B45" s="21" t="n">
        <v>3</v>
      </c>
      <c r="C45" s="24" t="s">
        <v>275</v>
      </c>
    </row>
    <row r="1048576" customFormat="false" ht="12.8" hidden="false" customHeight="false" outlineLevel="0" collapsed="false"/>
  </sheetData>
  <mergeCells count="7">
    <mergeCell ref="A1:I1"/>
    <mergeCell ref="A2:I2"/>
    <mergeCell ref="A4:B4"/>
    <mergeCell ref="A12:C12"/>
    <mergeCell ref="A19:B19"/>
    <mergeCell ref="A28:C28"/>
    <mergeCell ref="A40:C40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2026-09-15T14:28:38Z</dcterms:created>
  <dc:creator>openpyxl</dc:creator>
  <dc:description/>
  <dc:language>zh-TW</dc:language>
  <cp:lastModifiedBy/>
  <dcterms:modified xsi:type="dcterms:W3CDTF">2026-09-16T23:11:28Z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